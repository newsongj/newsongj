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e4a2787094f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주일보고" sheetId="1" r:id="R7d265840531d4fa7"/>
    <x:sheet xmlns:r="http://schemas.openxmlformats.org/officeDocument/2006/relationships" name="02_전체출석" sheetId="2" r:id="R82a696777f414b4c"/>
    <x:sheet xmlns:r="http://schemas.openxmlformats.org/officeDocument/2006/relationships" name="03_교구별그래프" sheetId="3" r:id="R642c396048f34ee8"/>
    <x:sheet xmlns:r="http://schemas.openxmlformats.org/officeDocument/2006/relationships" name="04_교구수합" sheetId="4" r:id="Rf7a4e03609114e29"/>
    <x:sheet xmlns:r="http://schemas.openxmlformats.org/officeDocument/2006/relationships" name="05_45기명단" sheetId="5" r:id="R5b9b660861ab479f"/>
    <x:sheet xmlns:r="http://schemas.openxmlformats.org/officeDocument/2006/relationships" name="06_45기추이" sheetId="6" r:id="R8c5c82ba977743d5"/>
    <x:sheet xmlns:r="http://schemas.openxmlformats.org/officeDocument/2006/relationships" name="07_46기명단" sheetId="7" r:id="R21e5dd1d2f0e40f3"/>
    <x:sheet xmlns:r="http://schemas.openxmlformats.org/officeDocument/2006/relationships" name="08_46기추이" sheetId="8" r:id="Rbcce1dc1d41040a4"/>
    <x:sheet xmlns:r="http://schemas.openxmlformats.org/officeDocument/2006/relationships" name="09_새가족현황" sheetId="9" r:id="Rfe592037c9ac4468"/>
  </x:sheets>
  <x:definedNames>
    <x:definedName name="_xlnm.Print_Area" localSheetId="0">'01_주일보고'!$A$1:$L$64</x:definedName>
    <x:definedName name="_xlnm.Print_Area" localSheetId="1">'02_전체출석'!$A$1:$H$51</x:definedName>
    <x:definedName name="_xlnm.Print_Area" localSheetId="2">'03_교구별그래프'!$A$1:$R$64</x:definedName>
    <x:definedName name="_xlnm.Print_Area" localSheetId="3">'04_교구수합'!$A$1:$P$18</x:definedName>
    <x:definedName name="_xlnm.Print_Area" localSheetId="4">'05_45기명단'!$A$1:$G$61</x:definedName>
    <x:definedName name="_xlnm.Print_Area" localSheetId="5">'06_45기추이'!$A$1:$H$46</x:definedName>
    <x:definedName name="_xlnm.Print_Area" localSheetId="6">'07_46기명단'!$A$1:$G$61</x:definedName>
    <x:definedName name="_xlnm.Print_Area" localSheetId="7">'08_46기추이'!$A$1:$H$46</x:definedName>
    <x:definedName name="_xlnm.Print_Area" localSheetId="8">'09_새가족현황'!$A$1:$I$60</x:definedName>
  </x:definedNames>
  <x:calcPr calcMode="auto" fullCalcOnLoad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&quot;년 &quot;m&quot;월 &quot;d&quot;일&quot;"/>
    <x:numFmt numFmtId="201" formatCode="m/d"/>
    <x:numFmt numFmtId="202" formatCode="0&quot;명&quot;"/>
    <x:numFmt numFmtId="203" formatCode="yyyy-mm-dd"/>
    <x:numFmt numFmtId="204" formatCode="mm/dd"/>
  </x:numFmts>
  <x:fonts count="13">
    <x:font>
      <x:sz val="11"/>
      <x:name val="Carlito"/>
    </x:font>
    <x:font>
      <x:sz val="11"/>
      <x:color rgb="FF171717"/>
      <x:name val="Apple SD Gothic Neo"/>
    </x:font>
    <x:font>
      <x:b/>
      <x:sz val="11"/>
      <x:color rgb="FF171717"/>
      <x:name val="Apple SD Gothic Neo"/>
    </x:font>
    <x:font>
      <x:b/>
      <x:sz val="12"/>
      <x:color rgb="FF171717"/>
      <x:name val="Apple SD Gothic Neo"/>
    </x:font>
    <x:font>
      <x:sz val="9"/>
      <x:color rgb="FF777777"/>
      <x:name val="Apple SD Gothic Neo"/>
    </x:font>
    <x:font>
      <x:sz val="11"/>
      <x:color rgb="FF171717"/>
      <x:name val="Apple SD Gothic Neo"/>
    </x:font>
    <x:font>
      <x:b/>
      <x:sz val="9"/>
      <x:color rgb="FF171717"/>
      <x:name val="Apple SD Gothic Neo"/>
    </x:font>
    <x:font>
      <x:b/>
      <x:sz val="14"/>
      <x:color rgb="FF171717"/>
      <x:name val="Apple SD Gothic Neo"/>
    </x:font>
    <x:font>
      <x:sz val="10"/>
      <x:color rgb="FF171717"/>
      <x:name val="Apple SD Gothic Neo"/>
    </x:font>
    <x:font>
      <x:b/>
      <x:sz val="18"/>
      <x:color rgb="FF171717"/>
      <x:name val="Apple SD Gothic Neo"/>
    </x:font>
    <x:font>
      <x:sz val="9"/>
      <x:color rgb="FF171717"/>
      <x:name val="Apple SD Gothic Neo"/>
    </x:font>
    <x:font>
      <x:b/>
      <x:sz val="17"/>
      <x:color rgb="FF171717"/>
      <x:name val="Apple SD Gothic Neo"/>
    </x:font>
    <x:font>
      <x:b/>
      <x:sz val="16"/>
      <x:color rgb="FF171717"/>
      <x:name val="Apple SD Gothic Neo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FD966"/>
      </x:patternFill>
    </x:fill>
    <x:fill>
      <x:patternFill patternType="solid">
        <x:fgColor rgb="FFD0DDF3"/>
      </x:patternFill>
    </x:fill>
    <x:fill>
      <x:patternFill patternType="solid">
        <x:fgColor rgb="FFD9EAD3"/>
      </x:patternFill>
    </x:fill>
    <x:fill>
      <x:patternFill patternType="solid">
        <x:fgColor rgb="FFE9DDF0"/>
      </x:patternFill>
    </x:fill>
    <x:fill>
      <x:patternFill patternType="solid">
        <x:fgColor rgb="FFFBD4B4"/>
      </x:patternFill>
    </x:fill>
    <x:fill>
      <x:patternFill patternType="solid">
        <x:fgColor rgb="FFA6E2CD"/>
      </x:patternFill>
    </x:fill>
    <x:fill>
      <x:patternFill patternType="solid">
        <x:fgColor rgb="FFFFFF00"/>
      </x:patternFill>
    </x:fill>
    <x:fill>
      <x:patternFill patternType="solid">
        <x:fgColor rgb="FFFCEBDE"/>
      </x:patternFill>
    </x:fill>
  </x:fills>
  <x:borders count="15">
    <x:border/>
    <x:border>
      <x:left style="thin">
        <x:color rgb="FF171717"/>
      </x:left>
      <x:top style="thin">
        <x:color rgb="FF171717"/>
      </x:top>
    </x:border>
    <x:border>
      <x:top style="thin">
        <x:color rgb="FF171717"/>
      </x:top>
    </x:border>
    <x:border>
      <x:right style="thin">
        <x:color rgb="FF171717"/>
      </x:right>
      <x:top style="thin">
        <x:color rgb="FF171717"/>
      </x:top>
    </x:border>
    <x:border>
      <x:left style="thin">
        <x:color rgb="FF171717"/>
      </x:left>
      <x:bottom style="thin">
        <x:color rgb="FF171717"/>
      </x:bottom>
    </x:border>
    <x:border>
      <x:bottom style="thin">
        <x:color rgb="FF171717"/>
      </x:bottom>
    </x:border>
    <x:border>
      <x:right style="thin">
        <x:color rgb="FF171717"/>
      </x:right>
      <x:bottom style="thin">
        <x:color rgb="FF171717"/>
      </x:bottom>
    </x:border>
    <x:border>
      <x:left style="thin">
        <x:color rgb="FF454545"/>
      </x:left>
      <x:right style="thin">
        <x:color rgb="FF454545"/>
      </x:right>
      <x:top style="thin">
        <x:color rgb="FF454545"/>
      </x:top>
      <x:bottom style="thin">
        <x:color rgb="FF454545"/>
      </x:bottom>
    </x:border>
    <x:border>
      <x:left style="thin">
        <x:color rgb="FF171717"/>
      </x:left>
      <x:right style="thin">
        <x:color rgb="FF454545"/>
      </x:right>
      <x:top style="thin">
        <x:color rgb="FF171717"/>
      </x:top>
      <x:bottom style="thin">
        <x:color rgb="FF454545"/>
      </x:bottom>
    </x:border>
    <x:border>
      <x:left style="thin">
        <x:color rgb="FF454545"/>
      </x:left>
      <x:right style="thin">
        <x:color rgb="FF454545"/>
      </x:right>
      <x:top style="thin">
        <x:color rgb="FF171717"/>
      </x:top>
      <x:bottom style="thin">
        <x:color rgb="FF454545"/>
      </x:bottom>
    </x:border>
    <x:border>
      <x:left style="thin">
        <x:color rgb="FF454545"/>
      </x:left>
      <x:right style="thin">
        <x:color rgb="FF171717"/>
      </x:right>
      <x:top style="thin">
        <x:color rgb="FF171717"/>
      </x:top>
      <x:bottom style="thin">
        <x:color rgb="FF454545"/>
      </x:bottom>
    </x:border>
    <x:border>
      <x:left style="thin">
        <x:color rgb="FF171717"/>
      </x:left>
      <x:right style="thin">
        <x:color rgb="FF454545"/>
      </x:right>
      <x:top style="thin">
        <x:color rgb="FF454545"/>
      </x:top>
      <x:bottom style="thin">
        <x:color rgb="FF454545"/>
      </x:bottom>
    </x:border>
    <x:border>
      <x:left style="thin">
        <x:color rgb="FF454545"/>
      </x:left>
      <x:right style="thin">
        <x:color rgb="FF171717"/>
      </x:right>
      <x:top style="thin">
        <x:color rgb="FF454545"/>
      </x:top>
      <x:bottom style="thin">
        <x:color rgb="FF454545"/>
      </x:bottom>
    </x:border>
    <x:border>
      <x:left style="thin">
        <x:color rgb="FF171717"/>
      </x:left>
    </x:border>
    <x:border>
      <x:right style="thin">
        <x:color rgb="FF171717"/>
      </x:right>
    </x:border>
  </x:borders>
  <x:cellStyleXfs count="1">
    <x:xf numFmtId="0" fontId="0" fillId="0" borderId="0"/>
  </x:cellStyleXfs>
  <x:cellXfs count="1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20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right" vertical="center"/>
    </x:xf>
    <x:xf numFmtId="201" fontId="2" fillId="3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3" borderId="7" xfId="0" applyNumberFormat="1" applyFont="1" applyFill="1" applyBorder="1" applyAlignment="1">
      <x:alignment horizontal="center" vertical="center"/>
    </x:xf>
    <x:xf numFmtId="201" fontId="2" fillId="3" borderId="7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/>
    </x:xf>
    <x:xf numFmtId="0" fontId="2" fillId="2" borderId="7" xfId="0" applyNumberFormat="1" applyFont="1" applyFill="1" applyBorder="1" applyAlignment="1">
      <x:alignment horizontal="center" vertical="center"/>
    </x:xf>
    <x:xf numFmtId="201" fontId="2" fillId="5" borderId="7" xfId="0" applyNumberFormat="1" applyFont="1" applyFill="1" applyBorder="1" applyAlignment="1">
      <x:alignment horizontal="center" vertical="center"/>
    </x:xf>
    <x:xf numFmtId="0" fontId="1" fillId="5" borderId="7" xfId="0" applyNumberFormat="1" applyFont="1" applyFill="1" applyBorder="1" applyAlignment="1">
      <x:alignment horizontal="center" vertical="center"/>
    </x:xf>
    <x:xf numFmtId="0" fontId="2" fillId="5" borderId="7" xfId="0" applyNumberFormat="1" applyFont="1" applyFill="1" applyBorder="1" applyAlignment="1">
      <x:alignment horizontal="center" vertical="center"/>
    </x:xf>
    <x:xf numFmtId="0" fontId="2" fillId="6" borderId="7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1" fillId="7" borderId="7" xfId="0" applyNumberFormat="1" applyFont="1" applyFill="1" applyBorder="1" applyAlignment="1">
      <x:alignment horizontal="center" vertical="center" wrapText="1"/>
    </x:xf>
    <x:xf numFmtId="0" fontId="5" fillId="2" borderId="7" xfId="0" applyNumberFormat="1" applyFont="1" applyFill="1" applyBorder="1" applyAlignment="1">
      <x:alignment horizontal="center" vertical="center" wrapText="1"/>
    </x:xf>
    <x:xf numFmtId="0" fontId="1" fillId="6" borderId="7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1" fillId="4" borderId="7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6" fillId="3" borderId="7" xfId="0" applyNumberFormat="1" applyFont="1" applyFill="1" applyBorder="1" applyAlignment="1">
      <x:alignment horizontal="center" vertical="center"/>
    </x:xf>
    <x:xf numFmtId="0" fontId="2" fillId="4" borderId="7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1" fillId="8" borderId="7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horizontal="center" vertical="center"/>
    </x:xf>
    <x:xf numFmtId="0" fontId="1" fillId="11" borderId="0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horizontal="center" vertical="center"/>
    </x:xf>
    <x:xf numFmtId="0" fontId="8" fillId="11" borderId="0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1" borderId="0" xfId="0" applyNumberFormat="1" applyFont="1" applyFill="1" applyBorder="1" applyAlignment="1">
      <x:alignment horizontal="center" vertical="center" wrapText="1"/>
    </x:xf>
    <x:xf numFmtId="0" fontId="3" fillId="9" borderId="7" xfId="0" applyNumberFormat="1" applyFont="1" applyFill="1" applyBorder="1" applyAlignment="1">
      <x:alignment horizontal="center" vertical="center"/>
    </x:xf>
    <x:xf numFmtId="0" fontId="8" fillId="2" borderId="7" xfId="0" applyNumberFormat="1" applyFont="1" applyFill="1" applyBorder="1" applyAlignment="1">
      <x:alignment horizontal="center" vertical="center"/>
    </x:xf>
    <x:xf numFmtId="0" fontId="8" fillId="2" borderId="7" xfId="0" applyNumberFormat="1" applyFont="1" applyFill="1" applyBorder="1" applyAlignment="1">
      <x:alignment horizontal="center" vertical="center" wrapText="1"/>
    </x:xf>
    <x:xf numFmtId="0" fontId="8" fillId="10" borderId="7" xfId="0" applyNumberFormat="1" applyFont="1" applyFill="1" applyBorder="1" applyAlignment="1">
      <x:alignment horizontal="center" vertical="center" wrapText="1"/>
    </x:xf>
    <x:xf numFmtId="0" fontId="8" fillId="11" borderId="7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horizontal="center" vertical="center"/>
    </x:xf>
    <x:xf numFmtId="0" fontId="1" fillId="12" borderId="0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 applyAlignment="1">
      <x:alignment horizontal="center" vertical="center"/>
    </x:xf>
    <x:xf numFmtId="202" fontId="10" fillId="2" borderId="0" xfId="0" applyNumberFormat="1" applyFont="1" applyFill="1" applyBorder="1" applyAlignment="1">
      <x:alignment horizontal="center" vertical="center"/>
    </x:xf>
    <x:xf numFmtId="0" fontId="10" fillId="12" borderId="0" xfId="0" applyNumberFormat="1" applyFont="1" applyFill="1" applyBorder="1" applyAlignment="1">
      <x:alignment horizontal="center" vertical="center"/>
    </x:xf>
    <x:xf numFmtId="0" fontId="10" fillId="2" borderId="7" xfId="0" applyNumberFormat="1" applyFont="1" applyFill="1" applyBorder="1" applyAlignment="1">
      <x:alignment horizontal="center" vertical="center"/>
    </x:xf>
    <x:xf numFmtId="202" fontId="10" fillId="2" borderId="7" xfId="0" applyNumberFormat="1" applyFont="1" applyFill="1" applyBorder="1" applyAlignment="1">
      <x:alignment horizontal="center" vertical="center"/>
    </x:xf>
    <x:xf numFmtId="0" fontId="10" fillId="12" borderId="7" xfId="0" applyNumberFormat="1" applyFont="1" applyFill="1" applyBorder="1" applyAlignment="1">
      <x:alignment horizontal="center" vertical="center"/>
    </x:xf>
    <x:xf numFmtId="0" fontId="2" fillId="4" borderId="8" xfId="0" applyNumberFormat="1" applyFont="1" applyFill="1" applyBorder="1" applyAlignment="1">
      <x:alignment horizontal="center" vertical="center"/>
    </x:xf>
    <x:xf numFmtId="0" fontId="2" fillId="4" borderId="9" xfId="0" applyNumberFormat="1" applyFont="1" applyFill="1" applyBorder="1" applyAlignment="1">
      <x:alignment horizontal="center" vertical="center"/>
    </x:xf>
    <x:xf numFmtId="0" fontId="2" fillId="4" borderId="10" xfId="0" applyNumberFormat="1" applyFont="1" applyFill="1" applyBorder="1" applyAlignment="1">
      <x:alignment horizontal="center" vertical="center"/>
    </x:xf>
    <x:xf numFmtId="0" fontId="10" fillId="2" borderId="11" xfId="0" applyNumberFormat="1" applyFont="1" applyFill="1" applyBorder="1" applyAlignment="1">
      <x:alignment horizontal="center" vertical="center"/>
    </x:xf>
    <x:xf numFmtId="0" fontId="10" fillId="2" borderId="12" xfId="0" applyNumberFormat="1" applyFont="1" applyFill="1" applyBorder="1" applyAlignment="1">
      <x:alignment horizontal="center" vertical="center"/>
    </x:xf>
    <x:xf numFmtId="0" fontId="10" fillId="12" borderId="12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0" fontId="1" fillId="2" borderId="14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11" fillId="2" borderId="0" xfId="0" applyNumberFormat="1" applyFont="1" applyFill="1" applyBorder="1" applyAlignment="1">
      <x:alignment horizontal="center" vertical="center"/>
    </x:xf>
    <x:xf numFmtId="0" fontId="1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right" vertical="center"/>
    </x:xf>
    <x:xf numFmtId="203" fontId="2" fillId="2" borderId="0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horizontal="left" vertical="center"/>
    </x:xf>
    <x:xf numFmtId="204" fontId="1" fillId="2" borderId="0" xfId="0" applyNumberFormat="1" applyFont="1" applyFill="1" applyBorder="1" applyAlignment="1">
      <x:alignment horizontal="center" vertical="center"/>
    </x:xf>
    <x:xf numFmtId="204" fontId="1" fillId="2" borderId="7" xfId="0" applyNumberFormat="1" applyFont="1" applyFill="1" applyBorder="1" applyAlignment="1">
      <x:alignment horizontal="center" vertical="center"/>
    </x:xf>
    <x:xf numFmtId="204" fontId="2" fillId="2" borderId="7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 applyAlignment="1">
      <x:alignment horizontal="right" vertical="center"/>
    </x:xf>
    <x:xf numFmtId="0" fontId="1" fillId="13" borderId="0" xfId="0" applyNumberFormat="1" applyFont="1" applyFill="1" applyBorder="1" applyAlignment="1">
      <x:alignment horizontal="center" vertical="center"/>
    </x:xf>
    <x:xf numFmtId="0" fontId="12" fillId="13" borderId="0" xfId="0" applyNumberFormat="1" applyFont="1" applyFill="1" applyBorder="1" applyAlignment="1">
      <x:alignment horizontal="center" vertical="center"/>
    </x:xf>
    <x:xf numFmtId="0" fontId="12" fillId="13" borderId="1" xfId="0" applyNumberFormat="1" applyFont="1" applyFill="1" applyBorder="1" applyAlignment="1">
      <x:alignment horizontal="center" vertical="center"/>
    </x:xf>
    <x:xf numFmtId="0" fontId="12" fillId="13" borderId="2" xfId="0" applyNumberFormat="1" applyFont="1" applyFill="1" applyBorder="1" applyAlignment="1">
      <x:alignment horizontal="center" vertical="center"/>
    </x:xf>
    <x:xf numFmtId="0" fontId="12" fillId="13" borderId="3" xfId="0" applyNumberFormat="1" applyFont="1" applyFill="1" applyBorder="1" applyAlignment="1">
      <x:alignment horizontal="center" vertical="center"/>
    </x:xf>
    <x:xf numFmtId="0" fontId="12" fillId="13" borderId="13" xfId="0" applyNumberFormat="1" applyFont="1" applyFill="1" applyBorder="1" applyAlignment="1">
      <x:alignment horizontal="center" vertical="center"/>
    </x:xf>
    <x:xf numFmtId="0" fontId="12" fillId="13" borderId="14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1" fillId="2" borderId="14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8">
    <x:dxf>
      <x:fill>
        <x:patternFill patternType="solid">
          <x:bgColor rgb="FFD0DDF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0DDF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0DDF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0DDF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0DDF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0DDF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0DDF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0DDF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0DDF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0DDF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0DDF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0DDF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0DDF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0DDF3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ca7b364ec14fba" /><Relationship Type="http://schemas.openxmlformats.org/officeDocument/2006/relationships/theme" Target="/xl/theme/theme1.xml" Id="R64b015d382064a8f" /><Relationship Type="http://schemas.openxmlformats.org/officeDocument/2006/relationships/sharedStrings" Target="/xl/sharedStrings.xml" Id="R62cbfaf1070a4cd3" /><Relationship Type="http://schemas.openxmlformats.org/officeDocument/2006/relationships/worksheet" Target="/xl/worksheets/sheet1.xml" Id="R7d265840531d4fa7" /><Relationship Type="http://schemas.openxmlformats.org/officeDocument/2006/relationships/worksheet" Target="/xl/worksheets/sheet2.xml" Id="R82a696777f414b4c" /><Relationship Type="http://schemas.openxmlformats.org/officeDocument/2006/relationships/worksheet" Target="/xl/worksheets/sheet3.xml" Id="R642c396048f34ee8" /><Relationship Type="http://schemas.openxmlformats.org/officeDocument/2006/relationships/worksheet" Target="/xl/worksheets/sheet4.xml" Id="Rf7a4e03609114e29" /><Relationship Type="http://schemas.openxmlformats.org/officeDocument/2006/relationships/worksheet" Target="/xl/worksheets/sheet5.xml" Id="R5b9b660861ab479f" /><Relationship Type="http://schemas.openxmlformats.org/officeDocument/2006/relationships/worksheet" Target="/xl/worksheets/sheet6.xml" Id="R8c5c82ba977743d5" /><Relationship Type="http://schemas.openxmlformats.org/officeDocument/2006/relationships/worksheet" Target="/xl/worksheets/sheet7.xml" Id="R21e5dd1d2f0e40f3" /><Relationship Type="http://schemas.openxmlformats.org/officeDocument/2006/relationships/worksheet" Target="/xl/worksheets/sheet8.xml" Id="Rbcce1dc1d41040a4" /><Relationship Type="http://schemas.openxmlformats.org/officeDocument/2006/relationships/worksheet" Target="/xl/worksheets/sheet9.xml" Id="Rfe592037c9ac44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6f1ef0e9b4454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a1ebddf87db4e71" /><Relationship Type="http://schemas.openxmlformats.org/officeDocument/2006/relationships/chart" Target="/xl/drawings/charts/chart3.xml" Id="R819b0bf943a44e65" /><Relationship Type="http://schemas.openxmlformats.org/officeDocument/2006/relationships/chart" Target="/xl/drawings/charts/chart4.xml" Id="R435d806eef7b4069" /><Relationship Type="http://schemas.openxmlformats.org/officeDocument/2006/relationships/chart" Target="/xl/drawings/charts/chart5.xml" Id="R433edf45d8e84c07" /><Relationship Type="http://schemas.openxmlformats.org/officeDocument/2006/relationships/chart" Target="/xl/drawings/charts/chart6.xml" Id="R78ab70144382449d" /><Relationship Type="http://schemas.openxmlformats.org/officeDocument/2006/relationships/chart" Target="/xl/drawings/charts/chart7.xml" Id="Reffdd21203e14fa6" /><Relationship Type="http://schemas.openxmlformats.org/officeDocument/2006/relationships/chart" Target="/xl/drawings/charts/chart8.xml" Id="R4168f514cdd64c17" /><Relationship Type="http://schemas.openxmlformats.org/officeDocument/2006/relationships/chart" Target="/xl/drawings/charts/chart9.xml" Id="Rc487fed1c0cf459e" /><Relationship Type="http://schemas.openxmlformats.org/officeDocument/2006/relationships/chart" Target="/xl/drawings/charts/chart10.xml" Id="Ra4f2cdcddd2d4b84" /><Relationship Type="http://schemas.openxmlformats.org/officeDocument/2006/relationships/chart" Target="/xl/drawings/charts/chart11.xml" Id="R8fda0db4e13d47b7" /><Relationship Type="http://schemas.openxmlformats.org/officeDocument/2006/relationships/chart" Target="/xl/drawings/charts/chart12.xml" Id="Rdcb6fd1ef1b34290" /><Relationship Type="http://schemas.openxmlformats.org/officeDocument/2006/relationships/chart" Target="/xl/drawings/charts/chart13.xml" Id="R87bba93bd7404ed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1교구</c:v>
          </c:tx>
          <c:spPr>
            <a:solidFill xmlns:a="http://schemas.openxmlformats.org/drawingml/2006/main">
              <a:srgbClr val="F6ADA0"/>
            </a:solidFill>
            <a:ln xmlns:a="http://schemas.openxmlformats.org/drawingml/2006/main" w="19050">
              <a:solidFill>
                <a:srgbClr val="F6ADA0"/>
              </a:solidFill>
              <a:prstDash val="solid"/>
            </a:ln>
          </c:spPr>
          <c:dLbls>
            <c:numFmt formatCode="0" sourceLinked="0"/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50">
                    <a:solidFill>
                      <a:srgbClr val="333333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'01_주일보고'!$N$2:$N$5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'01_주일보고'!$O$2:$O$5</c:f>
              <c:numCache>
                <c:formatCode>0</c:formatCode>
                <c:ptCount val="4"/>
                <c:pt idx="0">
                  <c:v>175</c:v>
                </c:pt>
                <c:pt idx="1">
                  <c:v>177</c:v>
                </c:pt>
                <c:pt idx="2">
                  <c:v>179</c:v>
                </c:pt>
                <c:pt idx="3">
                  <c:v>187</c:v>
                </c:pt>
              </c:numCache>
            </c:numRef>
          </c:val>
        </c:ser>
        <c:ser>
          <c:idx val="1"/>
          <c:order val="1"/>
          <c:tx>
            <c:v>2교구</c:v>
          </c:tx>
          <c:spPr>
            <a:solidFill xmlns:a="http://schemas.openxmlformats.org/drawingml/2006/main">
              <a:srgbClr val="9ED5F1"/>
            </a:solidFill>
            <a:ln xmlns:a="http://schemas.openxmlformats.org/drawingml/2006/main" w="19050">
              <a:solidFill>
                <a:srgbClr val="9ED5F1"/>
              </a:solidFill>
              <a:prstDash val="solid"/>
            </a:ln>
          </c:spPr>
          <c:dLbls>
            <c:numFmt formatCode="0" sourceLinked="0"/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50">
                    <a:solidFill>
                      <a:srgbClr val="333333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'01_주일보고'!$N$2:$N$5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'01_주일보고'!$P$2:$P$5</c:f>
              <c:numCache>
                <c:formatCode>0</c:formatCode>
                <c:ptCount val="4"/>
                <c:pt idx="0">
                  <c:v>178</c:v>
                </c:pt>
                <c:pt idx="1">
                  <c:v>180</c:v>
                </c:pt>
                <c:pt idx="2">
                  <c:v>182</c:v>
                </c:pt>
                <c:pt idx="3">
                  <c:v>190</c:v>
                </c:pt>
              </c:numCache>
            </c:numRef>
          </c:val>
        </c:ser>
        <c:ser>
          <c:idx val="2"/>
          <c:order val="2"/>
          <c:tx>
            <c:v>3교구</c:v>
          </c:tx>
          <c:spPr>
            <a:solidFill xmlns:a="http://schemas.openxmlformats.org/drawingml/2006/main">
              <a:srgbClr val="DDF1B7"/>
            </a:solidFill>
            <a:ln xmlns:a="http://schemas.openxmlformats.org/drawingml/2006/main" w="19050">
              <a:solidFill>
                <a:srgbClr val="DDF1B7"/>
              </a:solidFill>
              <a:prstDash val="solid"/>
            </a:ln>
          </c:spPr>
          <c:dLbls>
            <c:numFmt formatCode="0" sourceLinked="0"/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50">
                    <a:solidFill>
                      <a:srgbClr val="333333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'01_주일보고'!$N$2:$N$5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'01_주일보고'!$Q$2:$Q$5</c:f>
              <c:numCache>
                <c:formatCode>0</c:formatCode>
                <c:ptCount val="4"/>
                <c:pt idx="0">
                  <c:v>181</c:v>
                </c:pt>
                <c:pt idx="1">
                  <c:v>183</c:v>
                </c:pt>
                <c:pt idx="2">
                  <c:v>185</c:v>
                </c:pt>
                <c:pt idx="3">
                  <c:v>182</c:v>
                </c:pt>
              </c:numCache>
            </c:numRef>
          </c:val>
        </c:ser>
        <c:axId val="48650112"/>
        <c:axId val="48672768"/>
      </c:barChart>
      <c:lineChart>
        <c:grouping val="standard"/>
        <c:varyColors val="0"/>
        <c:ser>
          <c:idx val="3"/>
          <c:order val="3"/>
          <c:tx>
            <c:v>2026년</c:v>
          </c:tx>
          <c:spPr>
            <a:solidFill xmlns:a="http://schemas.openxmlformats.org/drawingml/2006/main">
              <a:srgbClr val="F23F3F"/>
            </a:solidFill>
            <a:ln xmlns:a="http://schemas.openxmlformats.org/drawingml/2006/main" w="19050">
              <a:solidFill>
                <a:srgbClr val="F23F3F"/>
              </a:solidFill>
              <a:prstDash val="solid"/>
            </a:ln>
          </c:spPr>
          <c:marker>
            <c:symbol val="square"/>
            <c:size val="4"/>
            <c:spPr>
              <a:solidFill xmlns:a="http://schemas.openxmlformats.org/drawingml/2006/main">
                <a:srgbClr val="F23F3F"/>
              </a:solidFill>
              <a:ln xmlns:a="http://schemas.openxmlformats.org/drawingml/2006/main" w="9525">
                <a:solidFill>
                  <a:srgbClr val="F23F3F"/>
                </a:solidFill>
              </a:ln>
            </c:spPr>
          </c:marker>
          <c:dLbls>
            <c:numFmt formatCode="0" sourceLinked="0"/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50">
                    <a:solidFill>
                      <a:srgbClr val="D62B2B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'01_주일보고'!$N$2:$N$5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'01_주일보고'!$R$2:$R$5</c:f>
              <c:numCache>
                <c:formatCode>0</c:formatCode>
                <c:ptCount val="4"/>
                <c:pt idx="0">
                  <c:v>594</c:v>
                </c:pt>
                <c:pt idx="1">
                  <c:v>603</c:v>
                </c:pt>
                <c:pt idx="2">
                  <c:v>608</c:v>
                </c:pt>
                <c:pt idx="3">
                  <c:v>623</c:v>
                </c:pt>
              </c:numCache>
            </c:numRef>
          </c:val>
          <c:smooth val="0"/>
        </c:ser>
        <c:ser>
          <c:idx val="4"/>
          <c:order val="4"/>
          <c:tx>
            <c:v>2025년</c:v>
          </c:tx>
          <c:spPr>
            <a:solidFill xmlns:a="http://schemas.openxmlformats.org/drawingml/2006/main">
              <a:srgbClr val="333333"/>
            </a:solidFill>
            <a:ln xmlns:a="http://schemas.openxmlformats.org/drawingml/2006/main" w="19050">
              <a:solidFill>
                <a:srgbClr val="333333"/>
              </a:solidFill>
              <a:prstDash val="dash"/>
            </a:ln>
          </c:spPr>
          <c:marker>
            <c:symbol val="triangle"/>
            <c:size val="4"/>
            <c:spPr>
              <a:solidFill xmlns:a="http://schemas.openxmlformats.org/drawingml/2006/main">
                <a:srgbClr val="333333"/>
              </a:solidFill>
              <a:ln xmlns:a="http://schemas.openxmlformats.org/drawingml/2006/main" w="9525">
                <a:solidFill>
                  <a:srgbClr val="333333"/>
                </a:solidFill>
              </a:ln>
            </c:spPr>
          </c:marker>
          <c:cat>
            <c:strRef>
              <c:f>'01_주일보고'!$N$2:$N$5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'01_주일보고'!$S$2:$S$5</c:f>
              <c:numCache>
                <c:formatCode>0</c:formatCode>
                <c:ptCount val="4"/>
                <c:pt idx="0">
                  <c:v>602</c:v>
                </c:pt>
                <c:pt idx="1">
                  <c:v>590</c:v>
                </c:pt>
                <c:pt idx="2">
                  <c:v>579</c:v>
                </c:pt>
                <c:pt idx="3">
                  <c:v>564</c:v>
                </c:pt>
              </c:numCache>
            </c:numRef>
          </c:val>
          <c:smooth val="0"/>
        </c:ser>
        <c:ser>
          <c:idx val="5"/>
          <c:order val="5"/>
          <c:tx>
            <c:v>2024년</c:v>
          </c:tx>
          <c:spPr>
            <a:solidFill xmlns:a="http://schemas.openxmlformats.org/drawingml/2006/main">
              <a:srgbClr val="999999"/>
            </a:solidFill>
            <a:ln xmlns:a="http://schemas.openxmlformats.org/drawingml/2006/main" w="19050">
              <a:solidFill>
                <a:srgbClr val="999999"/>
              </a:solidFill>
              <a:prstDash val="solid"/>
            </a:ln>
          </c:spPr>
          <c:marker>
            <c:symbol val="circle"/>
            <c:size val="4"/>
            <c:spPr>
              <a:solidFill xmlns:a="http://schemas.openxmlformats.org/drawingml/2006/main">
                <a:srgbClr val="999999"/>
              </a:solidFill>
              <a:ln xmlns:a="http://schemas.openxmlformats.org/drawingml/2006/main" w="9525">
                <a:solidFill>
                  <a:srgbClr val="999999"/>
                </a:solidFill>
              </a:ln>
            </c:spPr>
          </c:marker>
          <c:cat>
            <c:strRef>
              <c:f>'01_주일보고'!$N$2:$N$5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'01_주일보고'!$T$2:$T$5</c:f>
              <c:numCache>
                <c:formatCode>0</c:formatCode>
                <c:ptCount val="4"/>
                <c:pt idx="0">
                  <c:v>521</c:v>
                </c:pt>
                <c:pt idx="1">
                  <c:v>528</c:v>
                </c:pt>
                <c:pt idx="2">
                  <c:v>516</c:v>
                </c:pt>
                <c:pt idx="3">
                  <c:v>530</c:v>
                </c:pt>
              </c:numCache>
            </c:numRef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ple SD Gothic Neo"/>
                <a:ea typeface="Apple SD Gothic Neo"/>
                <a:cs typeface="Apple SD Gothic Neo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  <c:max val="70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ple SD Gothic Neo"/>
                <a:ea typeface="Apple SD Gothic Neo"/>
                <a:cs typeface="Apple SD Gothic Neo"/>
              </a:defRPr>
            </a:pPr>
          </a:p>
        </c:txPr>
        <c:crossAx val="48650112"/>
        <c:crossBetween val="between"/>
        <c:majorUnit val="100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ple SD Gothic Neo"/>
              <a:ea typeface="Apple SD Gothic Neo"/>
              <a:cs typeface="Apple SD Gothic Neo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팀 인원</c:v>
          </c:tx>
          <c:spPr>
            <a:solidFill xmlns:a="http://schemas.openxmlformats.org/drawingml/2006/main">
              <a:srgbClr val="7B9D42"/>
            </a:solidFill>
            <a:ln xmlns:a="http://schemas.openxmlformats.org/drawingml/2006/main" w="19050">
              <a:solidFill>
                <a:srgbClr val="7B9D42"/>
              </a:solidFill>
              <a:prstDash val="solid"/>
            </a:ln>
          </c:spPr>
          <c:marker>
            <c:symbol val="diamond"/>
            <c:size val="4"/>
            <c:spPr>
              <a:solidFill xmlns:a="http://schemas.openxmlformats.org/drawingml/2006/main">
                <a:srgbClr val="7B9D42"/>
              </a:solidFill>
              <a:ln xmlns:a="http://schemas.openxmlformats.org/drawingml/2006/main" w="9525">
                <a:solidFill>
                  <a:srgbClr val="7B9D42"/>
                </a:solidFill>
              </a:ln>
            </c:spPr>
          </c:marker>
          <c:dLbls>
            <c:numFmt formatCode="0" sourceLinked="0"/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50">
                    <a:solidFill>
                      <a:srgbClr val="333333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'03_교구별그래프'!$U$3:$U$6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'03_교구별그래프'!$V$3:$V$6</c:f>
              <c:numCache>
                <c:formatCode>0</c:formatCode>
                <c:ptCount val="4"/>
                <c:pt idx="0">
                  <c:v>13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</c:numCache>
            </c:numRef>
          </c:val>
          <c:smooth val="0"/>
        </c:ser>
        <c:ser>
          <c:idx val="1"/>
          <c:order val="1"/>
          <c:tx>
            <c:v>교구 평균</c:v>
          </c:tx>
          <c:spPr>
            <a:solidFill xmlns:a="http://schemas.openxmlformats.org/drawingml/2006/main">
              <a:srgbClr val="B2C58E"/>
            </a:solidFill>
            <a:ln xmlns:a="http://schemas.openxmlformats.org/drawingml/2006/main" w="19050">
              <a:solidFill>
                <a:srgbClr val="B2C58E"/>
              </a:solidFill>
              <a:prstDash val="solid"/>
            </a:ln>
          </c:spPr>
          <c:marker>
            <c:symbol val="square"/>
            <c:size val="4"/>
            <c:spPr>
              <a:solidFill xmlns:a="http://schemas.openxmlformats.org/drawingml/2006/main">
                <a:srgbClr val="B2C58E"/>
              </a:solidFill>
              <a:ln xmlns:a="http://schemas.openxmlformats.org/drawingml/2006/main" w="9525">
                <a:solidFill>
                  <a:srgbClr val="B2C58E"/>
                </a:solidFill>
              </a:ln>
            </c:spPr>
          </c:marker>
          <c:cat>
            <c:strRef>
              <c:f>'03_교구별그래프'!$U$3:$U$6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'03_교구별그래프'!$W$3:$W$6</c:f>
              <c:numCache>
                <c:formatCode>0.0</c:formatCode>
                <c:ptCount val="4"/>
                <c:pt idx="0">
                  <c:v>14.833333333333334</c:v>
                </c:pt>
                <c:pt idx="1">
                  <c:v>15</c:v>
                </c:pt>
                <c:pt idx="2">
                  <c:v>15.166666666666666</c:v>
                </c:pt>
                <c:pt idx="3">
                  <c:v>15.833333333333334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ple SD Gothic Neo"/>
                <a:ea typeface="Apple SD Gothic Neo"/>
                <a:cs typeface="Apple SD Gothic Neo"/>
              </a:defRPr>
            </a:pPr>
          </a:p>
        </c:txPr>
        <c:crossAx val="48672768"/>
      </c:catAx>
      <c:valAx>
        <c:axId val="48672768"/>
        <c:scaling>
          <c:orientation val="minMax"/>
          <c:min val="5"/>
          <c:max val="3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ple SD Gothic Neo"/>
                <a:ea typeface="Apple SD Gothic Neo"/>
                <a:cs typeface="Apple SD Gothic Neo"/>
              </a:defRPr>
            </a:pPr>
          </a:p>
        </c:txPr>
        <c:crossAx val="48650112"/>
        <c:crossBetween val="between"/>
        <c:majorUnit val="10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ple SD Gothic Neo"/>
              <a:ea typeface="Apple SD Gothic Neo"/>
              <a:cs typeface="Apple SD Gothic Neo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팀 인원</c:v>
          </c:tx>
          <c:spPr>
            <a:solidFill xmlns:a="http://schemas.openxmlformats.org/drawingml/2006/main">
              <a:srgbClr val="7B9D42"/>
            </a:solidFill>
            <a:ln xmlns:a="http://schemas.openxmlformats.org/drawingml/2006/main" w="19050">
              <a:solidFill>
                <a:srgbClr val="7B9D42"/>
              </a:solidFill>
              <a:prstDash val="solid"/>
            </a:ln>
          </c:spPr>
          <c:marker>
            <c:symbol val="diamond"/>
            <c:size val="4"/>
            <c:spPr>
              <a:solidFill xmlns:a="http://schemas.openxmlformats.org/drawingml/2006/main">
                <a:srgbClr val="7B9D42"/>
              </a:solidFill>
              <a:ln xmlns:a="http://schemas.openxmlformats.org/drawingml/2006/main" w="9525">
                <a:solidFill>
                  <a:srgbClr val="7B9D42"/>
                </a:solidFill>
              </a:ln>
            </c:spPr>
          </c:marker>
          <c:dLbls>
            <c:numFmt formatCode="0" sourceLinked="0"/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50">
                    <a:solidFill>
                      <a:srgbClr val="333333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'03_교구별그래프'!$U$9:$U$12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'03_교구별그래프'!$V$9:$V$12</c:f>
              <c:numCache>
                <c:formatCode>0</c:formatCode>
                <c:ptCount val="4"/>
                <c:pt idx="0">
                  <c:v>18</c:v>
                </c:pt>
                <c:pt idx="1">
                  <c:v>20</c:v>
                </c:pt>
                <c:pt idx="2">
                  <c:v>11</c:v>
                </c:pt>
                <c:pt idx="3">
                  <c:v>13</c:v>
                </c:pt>
              </c:numCache>
            </c:numRef>
          </c:val>
          <c:smooth val="0"/>
        </c:ser>
        <c:ser>
          <c:idx val="1"/>
          <c:order val="1"/>
          <c:tx>
            <c:v>교구 평균</c:v>
          </c:tx>
          <c:spPr>
            <a:solidFill xmlns:a="http://schemas.openxmlformats.org/drawingml/2006/main">
              <a:srgbClr val="B2C58E"/>
            </a:solidFill>
            <a:ln xmlns:a="http://schemas.openxmlformats.org/drawingml/2006/main" w="19050">
              <a:solidFill>
                <a:srgbClr val="B2C58E"/>
              </a:solidFill>
              <a:prstDash val="solid"/>
            </a:ln>
          </c:spPr>
          <c:marker>
            <c:symbol val="square"/>
            <c:size val="4"/>
            <c:spPr>
              <a:solidFill xmlns:a="http://schemas.openxmlformats.org/drawingml/2006/main">
                <a:srgbClr val="B2C58E"/>
              </a:solidFill>
              <a:ln xmlns:a="http://schemas.openxmlformats.org/drawingml/2006/main" w="9525">
                <a:solidFill>
                  <a:srgbClr val="B2C58E"/>
                </a:solidFill>
              </a:ln>
            </c:spPr>
          </c:marker>
          <c:cat>
            <c:strRef>
              <c:f>'03_교구별그래프'!$U$9:$U$12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'03_교구별그래프'!$W$9:$W$12</c:f>
              <c:numCache>
                <c:formatCode>0.0</c:formatCode>
                <c:ptCount val="4"/>
                <c:pt idx="0">
                  <c:v>14.833333333333334</c:v>
                </c:pt>
                <c:pt idx="1">
                  <c:v>15</c:v>
                </c:pt>
                <c:pt idx="2">
                  <c:v>15.166666666666666</c:v>
                </c:pt>
                <c:pt idx="3">
                  <c:v>15.833333333333334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ple SD Gothic Neo"/>
                <a:ea typeface="Apple SD Gothic Neo"/>
                <a:cs typeface="Apple SD Gothic Neo"/>
              </a:defRPr>
            </a:pPr>
          </a:p>
        </c:txPr>
        <c:crossAx val="48672768"/>
      </c:catAx>
      <c:valAx>
        <c:axId val="48672768"/>
        <c:scaling>
          <c:orientation val="minMax"/>
          <c:min val="5"/>
          <c:max val="3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ple SD Gothic Neo"/>
                <a:ea typeface="Apple SD Gothic Neo"/>
                <a:cs typeface="Apple SD Gothic Neo"/>
              </a:defRPr>
            </a:pPr>
          </a:p>
        </c:txPr>
        <c:crossAx val="48650112"/>
        <c:crossBetween val="between"/>
        <c:majorUnit val="10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ple SD Gothic Neo"/>
              <a:ea typeface="Apple SD Gothic Neo"/>
              <a:cs typeface="Apple SD Gothic Neo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팀 인원</c:v>
          </c:tx>
          <c:spPr>
            <a:solidFill xmlns:a="http://schemas.openxmlformats.org/drawingml/2006/main">
              <a:srgbClr val="7B9D42"/>
            </a:solidFill>
            <a:ln xmlns:a="http://schemas.openxmlformats.org/drawingml/2006/main" w="19050">
              <a:solidFill>
                <a:srgbClr val="7B9D42"/>
              </a:solidFill>
              <a:prstDash val="solid"/>
            </a:ln>
          </c:spPr>
          <c:marker>
            <c:symbol val="diamond"/>
            <c:size val="4"/>
            <c:spPr>
              <a:solidFill xmlns:a="http://schemas.openxmlformats.org/drawingml/2006/main">
                <a:srgbClr val="7B9D42"/>
              </a:solidFill>
              <a:ln xmlns:a="http://schemas.openxmlformats.org/drawingml/2006/main" w="9525">
                <a:solidFill>
                  <a:srgbClr val="7B9D42"/>
                </a:solidFill>
              </a:ln>
            </c:spPr>
          </c:marker>
          <c:dLbls>
            <c:numFmt formatCode="0" sourceLinked="0"/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50">
                    <a:solidFill>
                      <a:srgbClr val="333333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'03_교구별그래프'!$U$15:$U$18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'03_교구별그래프'!$V$15:$V$18</c:f>
              <c:numCache>
                <c:formatCode>0</c:formatCode>
                <c:ptCount val="4"/>
                <c:pt idx="0">
                  <c:v>12</c:v>
                </c:pt>
                <c:pt idx="1">
                  <c:v>14</c:v>
                </c:pt>
                <c:pt idx="2">
                  <c:v>16</c:v>
                </c:pt>
                <c:pt idx="3">
                  <c:v>18</c:v>
                </c:pt>
              </c:numCache>
            </c:numRef>
          </c:val>
          <c:smooth val="0"/>
        </c:ser>
        <c:ser>
          <c:idx val="1"/>
          <c:order val="1"/>
          <c:tx>
            <c:v>교구 평균</c:v>
          </c:tx>
          <c:spPr>
            <a:solidFill xmlns:a="http://schemas.openxmlformats.org/drawingml/2006/main">
              <a:srgbClr val="B2C58E"/>
            </a:solidFill>
            <a:ln xmlns:a="http://schemas.openxmlformats.org/drawingml/2006/main" w="19050">
              <a:solidFill>
                <a:srgbClr val="B2C58E"/>
              </a:solidFill>
              <a:prstDash val="solid"/>
            </a:ln>
          </c:spPr>
          <c:marker>
            <c:symbol val="square"/>
            <c:size val="4"/>
            <c:spPr>
              <a:solidFill xmlns:a="http://schemas.openxmlformats.org/drawingml/2006/main">
                <a:srgbClr val="B2C58E"/>
              </a:solidFill>
              <a:ln xmlns:a="http://schemas.openxmlformats.org/drawingml/2006/main" w="9525">
                <a:solidFill>
                  <a:srgbClr val="B2C58E"/>
                </a:solidFill>
              </a:ln>
            </c:spPr>
          </c:marker>
          <c:cat>
            <c:strRef>
              <c:f>'03_교구별그래프'!$U$15:$U$18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'03_교구별그래프'!$W$15:$W$18</c:f>
              <c:numCache>
                <c:formatCode>0.0</c:formatCode>
                <c:ptCount val="4"/>
                <c:pt idx="0">
                  <c:v>14.833333333333334</c:v>
                </c:pt>
                <c:pt idx="1">
                  <c:v>15</c:v>
                </c:pt>
                <c:pt idx="2">
                  <c:v>15.166666666666666</c:v>
                </c:pt>
                <c:pt idx="3">
                  <c:v>15.833333333333334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ple SD Gothic Neo"/>
                <a:ea typeface="Apple SD Gothic Neo"/>
                <a:cs typeface="Apple SD Gothic Neo"/>
              </a:defRPr>
            </a:pPr>
          </a:p>
        </c:txPr>
        <c:crossAx val="48672768"/>
      </c:catAx>
      <c:valAx>
        <c:axId val="48672768"/>
        <c:scaling>
          <c:orientation val="minMax"/>
          <c:min val="5"/>
          <c:max val="3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ple SD Gothic Neo"/>
                <a:ea typeface="Apple SD Gothic Neo"/>
                <a:cs typeface="Apple SD Gothic Neo"/>
              </a:defRPr>
            </a:pPr>
          </a:p>
        </c:txPr>
        <c:crossAx val="48650112"/>
        <c:crossBetween val="between"/>
        <c:majorUnit val="10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ple SD Gothic Neo"/>
              <a:ea typeface="Apple SD Gothic Neo"/>
              <a:cs typeface="Apple SD Gothic Neo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팀 인원</c:v>
          </c:tx>
          <c:spPr>
            <a:solidFill xmlns:a="http://schemas.openxmlformats.org/drawingml/2006/main">
              <a:srgbClr val="7B9D42"/>
            </a:solidFill>
            <a:ln xmlns:a="http://schemas.openxmlformats.org/drawingml/2006/main" w="19050">
              <a:solidFill>
                <a:srgbClr val="7B9D42"/>
              </a:solidFill>
              <a:prstDash val="solid"/>
            </a:ln>
          </c:spPr>
          <c:marker>
            <c:symbol val="diamond"/>
            <c:size val="4"/>
            <c:spPr>
              <a:solidFill xmlns:a="http://schemas.openxmlformats.org/drawingml/2006/main">
                <a:srgbClr val="7B9D42"/>
              </a:solidFill>
              <a:ln xmlns:a="http://schemas.openxmlformats.org/drawingml/2006/main" w="9525">
                <a:solidFill>
                  <a:srgbClr val="7B9D42"/>
                </a:solidFill>
              </a:ln>
            </c:spPr>
          </c:marker>
          <c:dLbls>
            <c:numFmt formatCode="0" sourceLinked="0"/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50">
                    <a:solidFill>
                      <a:srgbClr val="333333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'03_교구별그래프'!$U$21:$U$24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'03_교구별그래프'!$V$21:$V$24</c:f>
              <c:numCache>
                <c:formatCode>0</c:formatCode>
                <c:ptCount val="4"/>
                <c:pt idx="0">
                  <c:v>17</c:v>
                </c:pt>
                <c:pt idx="1">
                  <c:v>19</c:v>
                </c:pt>
                <c:pt idx="2">
                  <c:v>10</c:v>
                </c:pt>
                <c:pt idx="3">
                  <c:v>12</c:v>
                </c:pt>
              </c:numCache>
            </c:numRef>
          </c:val>
          <c:smooth val="0"/>
        </c:ser>
        <c:ser>
          <c:idx val="1"/>
          <c:order val="1"/>
          <c:tx>
            <c:v>교구 평균</c:v>
          </c:tx>
          <c:spPr>
            <a:solidFill xmlns:a="http://schemas.openxmlformats.org/drawingml/2006/main">
              <a:srgbClr val="B2C58E"/>
            </a:solidFill>
            <a:ln xmlns:a="http://schemas.openxmlformats.org/drawingml/2006/main" w="19050">
              <a:solidFill>
                <a:srgbClr val="B2C58E"/>
              </a:solidFill>
              <a:prstDash val="solid"/>
            </a:ln>
          </c:spPr>
          <c:marker>
            <c:symbol val="square"/>
            <c:size val="4"/>
            <c:spPr>
              <a:solidFill xmlns:a="http://schemas.openxmlformats.org/drawingml/2006/main">
                <a:srgbClr val="B2C58E"/>
              </a:solidFill>
              <a:ln xmlns:a="http://schemas.openxmlformats.org/drawingml/2006/main" w="9525">
                <a:solidFill>
                  <a:srgbClr val="B2C58E"/>
                </a:solidFill>
              </a:ln>
            </c:spPr>
          </c:marker>
          <c:cat>
            <c:strRef>
              <c:f>'03_교구별그래프'!$U$21:$U$24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'03_교구별그래프'!$W$21:$W$24</c:f>
              <c:numCache>
                <c:formatCode>0.0</c:formatCode>
                <c:ptCount val="4"/>
                <c:pt idx="0">
                  <c:v>14.833333333333334</c:v>
                </c:pt>
                <c:pt idx="1">
                  <c:v>15</c:v>
                </c:pt>
                <c:pt idx="2">
                  <c:v>15.166666666666666</c:v>
                </c:pt>
                <c:pt idx="3">
                  <c:v>15.833333333333334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ple SD Gothic Neo"/>
                <a:ea typeface="Apple SD Gothic Neo"/>
                <a:cs typeface="Apple SD Gothic Neo"/>
              </a:defRPr>
            </a:pPr>
          </a:p>
        </c:txPr>
        <c:crossAx val="48672768"/>
      </c:catAx>
      <c:valAx>
        <c:axId val="48672768"/>
        <c:scaling>
          <c:orientation val="minMax"/>
          <c:min val="5"/>
          <c:max val="3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ple SD Gothic Neo"/>
                <a:ea typeface="Apple SD Gothic Neo"/>
                <a:cs typeface="Apple SD Gothic Neo"/>
              </a:defRPr>
            </a:pPr>
          </a:p>
        </c:txPr>
        <c:crossAx val="48650112"/>
        <c:crossBetween val="between"/>
        <c:majorUnit val="10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ple SD Gothic Neo"/>
              <a:ea typeface="Apple SD Gothic Neo"/>
              <a:cs typeface="Apple SD Gothic Neo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팀 인원</c:v>
          </c:tx>
          <c:spPr>
            <a:solidFill xmlns:a="http://schemas.openxmlformats.org/drawingml/2006/main">
              <a:srgbClr val="7B9D42"/>
            </a:solidFill>
            <a:ln xmlns:a="http://schemas.openxmlformats.org/drawingml/2006/main" w="19050">
              <a:solidFill>
                <a:srgbClr val="7B9D42"/>
              </a:solidFill>
              <a:prstDash val="solid"/>
            </a:ln>
          </c:spPr>
          <c:marker>
            <c:symbol val="diamond"/>
            <c:size val="4"/>
            <c:spPr>
              <a:solidFill xmlns:a="http://schemas.openxmlformats.org/drawingml/2006/main">
                <a:srgbClr val="7B9D42"/>
              </a:solidFill>
              <a:ln xmlns:a="http://schemas.openxmlformats.org/drawingml/2006/main" w="9525">
                <a:solidFill>
                  <a:srgbClr val="7B9D42"/>
                </a:solidFill>
              </a:ln>
            </c:spPr>
          </c:marker>
          <c:dLbls>
            <c:numFmt formatCode="0" sourceLinked="0"/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50">
                    <a:solidFill>
                      <a:srgbClr val="333333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'03_교구별그래프'!$U$27:$U$30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'03_교구별그래프'!$V$27:$V$30</c:f>
              <c:numCache>
                <c:formatCode>0</c:formatCode>
                <c:ptCount val="4"/>
                <c:pt idx="0">
                  <c:v>11</c:v>
                </c:pt>
                <c:pt idx="1">
                  <c:v>13</c:v>
                </c:pt>
                <c:pt idx="2">
                  <c:v>15</c:v>
                </c:pt>
                <c:pt idx="3">
                  <c:v>19</c:v>
                </c:pt>
              </c:numCache>
            </c:numRef>
          </c:val>
          <c:smooth val="0"/>
        </c:ser>
        <c:ser>
          <c:idx val="1"/>
          <c:order val="1"/>
          <c:tx>
            <c:v>교구 평균</c:v>
          </c:tx>
          <c:spPr>
            <a:solidFill xmlns:a="http://schemas.openxmlformats.org/drawingml/2006/main">
              <a:srgbClr val="B2C58E"/>
            </a:solidFill>
            <a:ln xmlns:a="http://schemas.openxmlformats.org/drawingml/2006/main" w="19050">
              <a:solidFill>
                <a:srgbClr val="B2C58E"/>
              </a:solidFill>
              <a:prstDash val="solid"/>
            </a:ln>
          </c:spPr>
          <c:marker>
            <c:symbol val="square"/>
            <c:size val="4"/>
            <c:spPr>
              <a:solidFill xmlns:a="http://schemas.openxmlformats.org/drawingml/2006/main">
                <a:srgbClr val="B2C58E"/>
              </a:solidFill>
              <a:ln xmlns:a="http://schemas.openxmlformats.org/drawingml/2006/main" w="9525">
                <a:solidFill>
                  <a:srgbClr val="B2C58E"/>
                </a:solidFill>
              </a:ln>
            </c:spPr>
          </c:marker>
          <c:cat>
            <c:strRef>
              <c:f>'03_교구별그래프'!$U$27:$U$30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'03_교구별그래프'!$W$27:$W$30</c:f>
              <c:numCache>
                <c:formatCode>0.0</c:formatCode>
                <c:ptCount val="4"/>
                <c:pt idx="0">
                  <c:v>14.833333333333334</c:v>
                </c:pt>
                <c:pt idx="1">
                  <c:v>15</c:v>
                </c:pt>
                <c:pt idx="2">
                  <c:v>15.166666666666666</c:v>
                </c:pt>
                <c:pt idx="3">
                  <c:v>15.833333333333334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ple SD Gothic Neo"/>
                <a:ea typeface="Apple SD Gothic Neo"/>
                <a:cs typeface="Apple SD Gothic Neo"/>
              </a:defRPr>
            </a:pPr>
          </a:p>
        </c:txPr>
        <c:crossAx val="48672768"/>
      </c:catAx>
      <c:valAx>
        <c:axId val="48672768"/>
        <c:scaling>
          <c:orientation val="minMax"/>
          <c:min val="5"/>
          <c:max val="3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ple SD Gothic Neo"/>
                <a:ea typeface="Apple SD Gothic Neo"/>
                <a:cs typeface="Apple SD Gothic Neo"/>
              </a:defRPr>
            </a:pPr>
          </a:p>
        </c:txPr>
        <c:crossAx val="48650112"/>
        <c:crossBetween val="between"/>
        <c:majorUnit val="10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ple SD Gothic Neo"/>
              <a:ea typeface="Apple SD Gothic Neo"/>
              <a:cs typeface="Apple SD Gothic Neo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팀 인원</c:v>
          </c:tx>
          <c:spPr>
            <a:solidFill xmlns:a="http://schemas.openxmlformats.org/drawingml/2006/main">
              <a:srgbClr val="7B9D42"/>
            </a:solidFill>
            <a:ln xmlns:a="http://schemas.openxmlformats.org/drawingml/2006/main" w="19050">
              <a:solidFill>
                <a:srgbClr val="7B9D42"/>
              </a:solidFill>
              <a:prstDash val="solid"/>
            </a:ln>
          </c:spPr>
          <c:marker>
            <c:symbol val="diamond"/>
            <c:size val="4"/>
            <c:spPr>
              <a:solidFill xmlns:a="http://schemas.openxmlformats.org/drawingml/2006/main">
                <a:srgbClr val="7B9D42"/>
              </a:solidFill>
              <a:ln xmlns:a="http://schemas.openxmlformats.org/drawingml/2006/main" w="9525">
                <a:solidFill>
                  <a:srgbClr val="7B9D42"/>
                </a:solidFill>
              </a:ln>
            </c:spPr>
          </c:marker>
          <c:dLbls>
            <c:numFmt formatCode="0" sourceLinked="0"/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50">
                    <a:solidFill>
                      <a:srgbClr val="333333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'03_교구별그래프'!$U$33:$U$36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'03_교구별그래프'!$V$33:$V$36</c:f>
              <c:numCache>
                <c:formatCode>0</c:formatCode>
                <c:ptCount val="4"/>
                <c:pt idx="0">
                  <c:v>16</c:v>
                </c:pt>
                <c:pt idx="1">
                  <c:v>18</c:v>
                </c:pt>
                <c:pt idx="2">
                  <c:v>20</c:v>
                </c:pt>
                <c:pt idx="3">
                  <c:v>11</c:v>
                </c:pt>
              </c:numCache>
            </c:numRef>
          </c:val>
          <c:smooth val="0"/>
        </c:ser>
        <c:ser>
          <c:idx val="1"/>
          <c:order val="1"/>
          <c:tx>
            <c:v>교구 평균</c:v>
          </c:tx>
          <c:spPr>
            <a:solidFill xmlns:a="http://schemas.openxmlformats.org/drawingml/2006/main">
              <a:srgbClr val="B2C58E"/>
            </a:solidFill>
            <a:ln xmlns:a="http://schemas.openxmlformats.org/drawingml/2006/main" w="19050">
              <a:solidFill>
                <a:srgbClr val="B2C58E"/>
              </a:solidFill>
              <a:prstDash val="solid"/>
            </a:ln>
          </c:spPr>
          <c:marker>
            <c:symbol val="square"/>
            <c:size val="4"/>
            <c:spPr>
              <a:solidFill xmlns:a="http://schemas.openxmlformats.org/drawingml/2006/main">
                <a:srgbClr val="B2C58E"/>
              </a:solidFill>
              <a:ln xmlns:a="http://schemas.openxmlformats.org/drawingml/2006/main" w="9525">
                <a:solidFill>
                  <a:srgbClr val="B2C58E"/>
                </a:solidFill>
              </a:ln>
            </c:spPr>
          </c:marker>
          <c:cat>
            <c:strRef>
              <c:f>'03_교구별그래프'!$U$33:$U$36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'03_교구별그래프'!$W$33:$W$36</c:f>
              <c:numCache>
                <c:formatCode>0.0</c:formatCode>
                <c:ptCount val="4"/>
                <c:pt idx="0">
                  <c:v>14.833333333333334</c:v>
                </c:pt>
                <c:pt idx="1">
                  <c:v>15</c:v>
                </c:pt>
                <c:pt idx="2">
                  <c:v>15.166666666666666</c:v>
                </c:pt>
                <c:pt idx="3">
                  <c:v>15.833333333333334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ple SD Gothic Neo"/>
                <a:ea typeface="Apple SD Gothic Neo"/>
                <a:cs typeface="Apple SD Gothic Neo"/>
              </a:defRPr>
            </a:pPr>
          </a:p>
        </c:txPr>
        <c:crossAx val="48672768"/>
      </c:catAx>
      <c:valAx>
        <c:axId val="48672768"/>
        <c:scaling>
          <c:orientation val="minMax"/>
          <c:min val="5"/>
          <c:max val="3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ple SD Gothic Neo"/>
                <a:ea typeface="Apple SD Gothic Neo"/>
                <a:cs typeface="Apple SD Gothic Neo"/>
              </a:defRPr>
            </a:pPr>
          </a:p>
        </c:txPr>
        <c:crossAx val="48650112"/>
        <c:crossBetween val="between"/>
        <c:majorUnit val="10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ple SD Gothic Neo"/>
              <a:ea typeface="Apple SD Gothic Neo"/>
              <a:cs typeface="Apple SD Gothic Neo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팀 인원</c:v>
          </c:tx>
          <c:spPr>
            <a:solidFill xmlns:a="http://schemas.openxmlformats.org/drawingml/2006/main">
              <a:srgbClr val="7B9D42"/>
            </a:solidFill>
            <a:ln xmlns:a="http://schemas.openxmlformats.org/drawingml/2006/main" w="19050">
              <a:solidFill>
                <a:srgbClr val="7B9D42"/>
              </a:solidFill>
              <a:prstDash val="solid"/>
            </a:ln>
          </c:spPr>
          <c:marker>
            <c:symbol val="diamond"/>
            <c:size val="4"/>
            <c:spPr>
              <a:solidFill xmlns:a="http://schemas.openxmlformats.org/drawingml/2006/main">
                <a:srgbClr val="7B9D42"/>
              </a:solidFill>
              <a:ln xmlns:a="http://schemas.openxmlformats.org/drawingml/2006/main" w="9525">
                <a:solidFill>
                  <a:srgbClr val="7B9D42"/>
                </a:solidFill>
              </a:ln>
            </c:spPr>
          </c:marker>
          <c:dLbls>
            <c:numFmt formatCode="0" sourceLinked="0"/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50">
                    <a:solidFill>
                      <a:srgbClr val="333333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'03_교구별그래프'!$U$39:$U$42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'03_교구별그래프'!$V$39:$V$42</c:f>
              <c:numCache>
                <c:formatCode>0</c:formatCode>
                <c:ptCount val="4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</c:numCache>
            </c:numRef>
          </c:val>
          <c:smooth val="0"/>
        </c:ser>
        <c:ser>
          <c:idx val="1"/>
          <c:order val="1"/>
          <c:tx>
            <c:v>교구 평균</c:v>
          </c:tx>
          <c:spPr>
            <a:solidFill xmlns:a="http://schemas.openxmlformats.org/drawingml/2006/main">
              <a:srgbClr val="B2C58E"/>
            </a:solidFill>
            <a:ln xmlns:a="http://schemas.openxmlformats.org/drawingml/2006/main" w="19050">
              <a:solidFill>
                <a:srgbClr val="B2C58E"/>
              </a:solidFill>
              <a:prstDash val="solid"/>
            </a:ln>
          </c:spPr>
          <c:marker>
            <c:symbol val="square"/>
            <c:size val="4"/>
            <c:spPr>
              <a:solidFill xmlns:a="http://schemas.openxmlformats.org/drawingml/2006/main">
                <a:srgbClr val="B2C58E"/>
              </a:solidFill>
              <a:ln xmlns:a="http://schemas.openxmlformats.org/drawingml/2006/main" w="9525">
                <a:solidFill>
                  <a:srgbClr val="B2C58E"/>
                </a:solidFill>
              </a:ln>
            </c:spPr>
          </c:marker>
          <c:cat>
            <c:strRef>
              <c:f>'03_교구별그래프'!$U$39:$U$42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'03_교구별그래프'!$W$39:$W$42</c:f>
              <c:numCache>
                <c:formatCode>0.0</c:formatCode>
                <c:ptCount val="4"/>
                <c:pt idx="0">
                  <c:v>14.833333333333334</c:v>
                </c:pt>
                <c:pt idx="1">
                  <c:v>15</c:v>
                </c:pt>
                <c:pt idx="2">
                  <c:v>15.166666666666666</c:v>
                </c:pt>
                <c:pt idx="3">
                  <c:v>15.833333333333334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ple SD Gothic Neo"/>
                <a:ea typeface="Apple SD Gothic Neo"/>
                <a:cs typeface="Apple SD Gothic Neo"/>
              </a:defRPr>
            </a:pPr>
          </a:p>
        </c:txPr>
        <c:crossAx val="48672768"/>
      </c:catAx>
      <c:valAx>
        <c:axId val="48672768"/>
        <c:scaling>
          <c:orientation val="minMax"/>
          <c:min val="5"/>
          <c:max val="3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ple SD Gothic Neo"/>
                <a:ea typeface="Apple SD Gothic Neo"/>
                <a:cs typeface="Apple SD Gothic Neo"/>
              </a:defRPr>
            </a:pPr>
          </a:p>
        </c:txPr>
        <c:crossAx val="48650112"/>
        <c:crossBetween val="between"/>
        <c:majorUnit val="10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ple SD Gothic Neo"/>
              <a:ea typeface="Apple SD Gothic Neo"/>
              <a:cs typeface="Apple SD Gothic Neo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팀 인원</c:v>
          </c:tx>
          <c:spPr>
            <a:solidFill xmlns:a="http://schemas.openxmlformats.org/drawingml/2006/main">
              <a:srgbClr val="7B9D42"/>
            </a:solidFill>
            <a:ln xmlns:a="http://schemas.openxmlformats.org/drawingml/2006/main" w="19050">
              <a:solidFill>
                <a:srgbClr val="7B9D42"/>
              </a:solidFill>
              <a:prstDash val="solid"/>
            </a:ln>
          </c:spPr>
          <c:marker>
            <c:symbol val="diamond"/>
            <c:size val="4"/>
            <c:spPr>
              <a:solidFill xmlns:a="http://schemas.openxmlformats.org/drawingml/2006/main">
                <a:srgbClr val="7B9D42"/>
              </a:solidFill>
              <a:ln xmlns:a="http://schemas.openxmlformats.org/drawingml/2006/main" w="9525">
                <a:solidFill>
                  <a:srgbClr val="7B9D42"/>
                </a:solidFill>
              </a:ln>
            </c:spPr>
          </c:marker>
          <c:dLbls>
            <c:numFmt formatCode="0" sourceLinked="0"/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50">
                    <a:solidFill>
                      <a:srgbClr val="333333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'03_교구별그래프'!$U$45:$U$48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'03_교구별그래프'!$V$45:$V$48</c:f>
              <c:numCache>
                <c:formatCode>0</c:formatCode>
                <c:ptCount val="4"/>
                <c:pt idx="0">
                  <c:v>15</c:v>
                </c:pt>
                <c:pt idx="1">
                  <c:v>17</c:v>
                </c:pt>
                <c:pt idx="2">
                  <c:v>19</c:v>
                </c:pt>
                <c:pt idx="3">
                  <c:v>10</c:v>
                </c:pt>
              </c:numCache>
            </c:numRef>
          </c:val>
          <c:smooth val="0"/>
        </c:ser>
        <c:ser>
          <c:idx val="1"/>
          <c:order val="1"/>
          <c:tx>
            <c:v>교구 평균</c:v>
          </c:tx>
          <c:spPr>
            <a:solidFill xmlns:a="http://schemas.openxmlformats.org/drawingml/2006/main">
              <a:srgbClr val="B2C58E"/>
            </a:solidFill>
            <a:ln xmlns:a="http://schemas.openxmlformats.org/drawingml/2006/main" w="19050">
              <a:solidFill>
                <a:srgbClr val="B2C58E"/>
              </a:solidFill>
              <a:prstDash val="solid"/>
            </a:ln>
          </c:spPr>
          <c:marker>
            <c:symbol val="square"/>
            <c:size val="4"/>
            <c:spPr>
              <a:solidFill xmlns:a="http://schemas.openxmlformats.org/drawingml/2006/main">
                <a:srgbClr val="B2C58E"/>
              </a:solidFill>
              <a:ln xmlns:a="http://schemas.openxmlformats.org/drawingml/2006/main" w="9525">
                <a:solidFill>
                  <a:srgbClr val="B2C58E"/>
                </a:solidFill>
              </a:ln>
            </c:spPr>
          </c:marker>
          <c:cat>
            <c:strRef>
              <c:f>'03_교구별그래프'!$U$45:$U$48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'03_교구별그래프'!$W$45:$W$48</c:f>
              <c:numCache>
                <c:formatCode>0.0</c:formatCode>
                <c:ptCount val="4"/>
                <c:pt idx="0">
                  <c:v>14.833333333333334</c:v>
                </c:pt>
                <c:pt idx="1">
                  <c:v>15</c:v>
                </c:pt>
                <c:pt idx="2">
                  <c:v>15.166666666666666</c:v>
                </c:pt>
                <c:pt idx="3">
                  <c:v>15.833333333333334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ple SD Gothic Neo"/>
                <a:ea typeface="Apple SD Gothic Neo"/>
                <a:cs typeface="Apple SD Gothic Neo"/>
              </a:defRPr>
            </a:pPr>
          </a:p>
        </c:txPr>
        <c:crossAx val="48672768"/>
      </c:catAx>
      <c:valAx>
        <c:axId val="48672768"/>
        <c:scaling>
          <c:orientation val="minMax"/>
          <c:min val="5"/>
          <c:max val="3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ple SD Gothic Neo"/>
                <a:ea typeface="Apple SD Gothic Neo"/>
                <a:cs typeface="Apple SD Gothic Neo"/>
              </a:defRPr>
            </a:pPr>
          </a:p>
        </c:txPr>
        <c:crossAx val="48650112"/>
        <c:crossBetween val="between"/>
        <c:majorUnit val="10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ple SD Gothic Neo"/>
              <a:ea typeface="Apple SD Gothic Neo"/>
              <a:cs typeface="Apple SD Gothic Neo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팀 인원</c:v>
          </c:tx>
          <c:spPr>
            <a:solidFill xmlns:a="http://schemas.openxmlformats.org/drawingml/2006/main">
              <a:srgbClr val="7B9D42"/>
            </a:solidFill>
            <a:ln xmlns:a="http://schemas.openxmlformats.org/drawingml/2006/main" w="19050">
              <a:solidFill>
                <a:srgbClr val="7B9D42"/>
              </a:solidFill>
              <a:prstDash val="solid"/>
            </a:ln>
          </c:spPr>
          <c:marker>
            <c:symbol val="diamond"/>
            <c:size val="4"/>
            <c:spPr>
              <a:solidFill xmlns:a="http://schemas.openxmlformats.org/drawingml/2006/main">
                <a:srgbClr val="7B9D42"/>
              </a:solidFill>
              <a:ln xmlns:a="http://schemas.openxmlformats.org/drawingml/2006/main" w="9525">
                <a:solidFill>
                  <a:srgbClr val="7B9D42"/>
                </a:solidFill>
              </a:ln>
            </c:spPr>
          </c:marker>
          <c:dLbls>
            <c:numFmt formatCode="0" sourceLinked="0"/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50">
                    <a:solidFill>
                      <a:srgbClr val="333333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'03_교구별그래프'!$U$51:$U$54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'03_교구별그래프'!$V$51:$V$54</c:f>
              <c:numCache>
                <c:formatCode>0</c:formatCode>
                <c:ptCount val="4"/>
                <c:pt idx="0">
                  <c:v>20</c:v>
                </c:pt>
                <c:pt idx="1">
                  <c:v>11</c:v>
                </c:pt>
                <c:pt idx="2">
                  <c:v>13</c:v>
                </c:pt>
                <c:pt idx="3">
                  <c:v>17</c:v>
                </c:pt>
              </c:numCache>
            </c:numRef>
          </c:val>
          <c:smooth val="0"/>
        </c:ser>
        <c:ser>
          <c:idx val="1"/>
          <c:order val="1"/>
          <c:tx>
            <c:v>교구 평균</c:v>
          </c:tx>
          <c:spPr>
            <a:solidFill xmlns:a="http://schemas.openxmlformats.org/drawingml/2006/main">
              <a:srgbClr val="B2C58E"/>
            </a:solidFill>
            <a:ln xmlns:a="http://schemas.openxmlformats.org/drawingml/2006/main" w="19050">
              <a:solidFill>
                <a:srgbClr val="B2C58E"/>
              </a:solidFill>
              <a:prstDash val="solid"/>
            </a:ln>
          </c:spPr>
          <c:marker>
            <c:symbol val="square"/>
            <c:size val="4"/>
            <c:spPr>
              <a:solidFill xmlns:a="http://schemas.openxmlformats.org/drawingml/2006/main">
                <a:srgbClr val="B2C58E"/>
              </a:solidFill>
              <a:ln xmlns:a="http://schemas.openxmlformats.org/drawingml/2006/main" w="9525">
                <a:solidFill>
                  <a:srgbClr val="B2C58E"/>
                </a:solidFill>
              </a:ln>
            </c:spPr>
          </c:marker>
          <c:cat>
            <c:strRef>
              <c:f>'03_교구별그래프'!$U$51:$U$54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'03_교구별그래프'!$W$51:$W$54</c:f>
              <c:numCache>
                <c:formatCode>0.0</c:formatCode>
                <c:ptCount val="4"/>
                <c:pt idx="0">
                  <c:v>14.833333333333334</c:v>
                </c:pt>
                <c:pt idx="1">
                  <c:v>15</c:v>
                </c:pt>
                <c:pt idx="2">
                  <c:v>15.166666666666666</c:v>
                </c:pt>
                <c:pt idx="3">
                  <c:v>15.833333333333334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ple SD Gothic Neo"/>
                <a:ea typeface="Apple SD Gothic Neo"/>
                <a:cs typeface="Apple SD Gothic Neo"/>
              </a:defRPr>
            </a:pPr>
          </a:p>
        </c:txPr>
        <c:crossAx val="48672768"/>
      </c:catAx>
      <c:valAx>
        <c:axId val="48672768"/>
        <c:scaling>
          <c:orientation val="minMax"/>
          <c:min val="5"/>
          <c:max val="3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ple SD Gothic Neo"/>
                <a:ea typeface="Apple SD Gothic Neo"/>
                <a:cs typeface="Apple SD Gothic Neo"/>
              </a:defRPr>
            </a:pPr>
          </a:p>
        </c:txPr>
        <c:crossAx val="48650112"/>
        <c:crossBetween val="between"/>
        <c:majorUnit val="10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ple SD Gothic Neo"/>
              <a:ea typeface="Apple SD Gothic Neo"/>
              <a:cs typeface="Apple SD Gothic Neo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팀 인원</c:v>
          </c:tx>
          <c:spPr>
            <a:solidFill xmlns:a="http://schemas.openxmlformats.org/drawingml/2006/main">
              <a:srgbClr val="7B9D42"/>
            </a:solidFill>
            <a:ln xmlns:a="http://schemas.openxmlformats.org/drawingml/2006/main" w="19050">
              <a:solidFill>
                <a:srgbClr val="7B9D42"/>
              </a:solidFill>
              <a:prstDash val="solid"/>
            </a:ln>
          </c:spPr>
          <c:marker>
            <c:symbol val="diamond"/>
            <c:size val="4"/>
            <c:spPr>
              <a:solidFill xmlns:a="http://schemas.openxmlformats.org/drawingml/2006/main">
                <a:srgbClr val="7B9D42"/>
              </a:solidFill>
              <a:ln xmlns:a="http://schemas.openxmlformats.org/drawingml/2006/main" w="9525">
                <a:solidFill>
                  <a:srgbClr val="7B9D42"/>
                </a:solidFill>
              </a:ln>
            </c:spPr>
          </c:marker>
          <c:dLbls>
            <c:numFmt formatCode="0" sourceLinked="0"/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50">
                    <a:solidFill>
                      <a:srgbClr val="333333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'03_교구별그래프'!$U$57:$U$60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'03_교구별그래프'!$V$57:$V$60</c:f>
              <c:numCache>
                <c:formatCode>0</c:formatCode>
                <c:ptCount val="4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</c:numCache>
            </c:numRef>
          </c:val>
          <c:smooth val="0"/>
        </c:ser>
        <c:ser>
          <c:idx val="1"/>
          <c:order val="1"/>
          <c:tx>
            <c:v>교구 평균</c:v>
          </c:tx>
          <c:spPr>
            <a:solidFill xmlns:a="http://schemas.openxmlformats.org/drawingml/2006/main">
              <a:srgbClr val="B2C58E"/>
            </a:solidFill>
            <a:ln xmlns:a="http://schemas.openxmlformats.org/drawingml/2006/main" w="19050">
              <a:solidFill>
                <a:srgbClr val="B2C58E"/>
              </a:solidFill>
              <a:prstDash val="solid"/>
            </a:ln>
          </c:spPr>
          <c:marker>
            <c:symbol val="square"/>
            <c:size val="4"/>
            <c:spPr>
              <a:solidFill xmlns:a="http://schemas.openxmlformats.org/drawingml/2006/main">
                <a:srgbClr val="B2C58E"/>
              </a:solidFill>
              <a:ln xmlns:a="http://schemas.openxmlformats.org/drawingml/2006/main" w="9525">
                <a:solidFill>
                  <a:srgbClr val="B2C58E"/>
                </a:solidFill>
              </a:ln>
            </c:spPr>
          </c:marker>
          <c:cat>
            <c:strRef>
              <c:f>'03_교구별그래프'!$U$57:$U$60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'03_교구별그래프'!$W$57:$W$60</c:f>
              <c:numCache>
                <c:formatCode>0.0</c:formatCode>
                <c:ptCount val="4"/>
                <c:pt idx="0">
                  <c:v>14.833333333333334</c:v>
                </c:pt>
                <c:pt idx="1">
                  <c:v>15</c:v>
                </c:pt>
                <c:pt idx="2">
                  <c:v>15.166666666666666</c:v>
                </c:pt>
                <c:pt idx="3">
                  <c:v>15.833333333333334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ple SD Gothic Neo"/>
                <a:ea typeface="Apple SD Gothic Neo"/>
                <a:cs typeface="Apple SD Gothic Neo"/>
              </a:defRPr>
            </a:pPr>
          </a:p>
        </c:txPr>
        <c:crossAx val="48672768"/>
      </c:catAx>
      <c:valAx>
        <c:axId val="48672768"/>
        <c:scaling>
          <c:orientation val="minMax"/>
          <c:min val="5"/>
          <c:max val="3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ple SD Gothic Neo"/>
                <a:ea typeface="Apple SD Gothic Neo"/>
                <a:cs typeface="Apple SD Gothic Neo"/>
              </a:defRPr>
            </a:pPr>
          </a:p>
        </c:txPr>
        <c:crossAx val="48650112"/>
        <c:crossBetween val="between"/>
        <c:majorUnit val="10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ple SD Gothic Neo"/>
              <a:ea typeface="Apple SD Gothic Neo"/>
              <a:cs typeface="Apple SD Gothic Neo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팀 인원</c:v>
          </c:tx>
          <c:spPr>
            <a:solidFill xmlns:a="http://schemas.openxmlformats.org/drawingml/2006/main">
              <a:srgbClr val="7B9D42"/>
            </a:solidFill>
            <a:ln xmlns:a="http://schemas.openxmlformats.org/drawingml/2006/main" w="19050">
              <a:solidFill>
                <a:srgbClr val="7B9D42"/>
              </a:solidFill>
              <a:prstDash val="solid"/>
            </a:ln>
          </c:spPr>
          <c:marker>
            <c:symbol val="diamond"/>
            <c:size val="4"/>
            <c:spPr>
              <a:solidFill xmlns:a="http://schemas.openxmlformats.org/drawingml/2006/main">
                <a:srgbClr val="7B9D42"/>
              </a:solidFill>
              <a:ln xmlns:a="http://schemas.openxmlformats.org/drawingml/2006/main" w="9525">
                <a:solidFill>
                  <a:srgbClr val="7B9D42"/>
                </a:solidFill>
              </a:ln>
            </c:spPr>
          </c:marker>
          <c:dLbls>
            <c:numFmt formatCode="0" sourceLinked="0"/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50">
                    <a:solidFill>
                      <a:srgbClr val="333333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'03_교구별그래프'!$U$63:$U$66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'03_교구별그래프'!$V$63:$V$66</c:f>
              <c:numCache>
                <c:formatCode>0</c:formatCode>
                <c:ptCount val="4"/>
                <c:pt idx="0">
                  <c:v>19</c:v>
                </c:pt>
                <c:pt idx="1">
                  <c:v>10</c:v>
                </c:pt>
                <c:pt idx="2">
                  <c:v>12</c:v>
                </c:pt>
                <c:pt idx="3">
                  <c:v>14</c:v>
                </c:pt>
              </c:numCache>
            </c:numRef>
          </c:val>
          <c:smooth val="0"/>
        </c:ser>
        <c:ser>
          <c:idx val="1"/>
          <c:order val="1"/>
          <c:tx>
            <c:v>교구 평균</c:v>
          </c:tx>
          <c:spPr>
            <a:solidFill xmlns:a="http://schemas.openxmlformats.org/drawingml/2006/main">
              <a:srgbClr val="B2C58E"/>
            </a:solidFill>
            <a:ln xmlns:a="http://schemas.openxmlformats.org/drawingml/2006/main" w="19050">
              <a:solidFill>
                <a:srgbClr val="B2C58E"/>
              </a:solidFill>
              <a:prstDash val="solid"/>
            </a:ln>
          </c:spPr>
          <c:marker>
            <c:symbol val="square"/>
            <c:size val="4"/>
            <c:spPr>
              <a:solidFill xmlns:a="http://schemas.openxmlformats.org/drawingml/2006/main">
                <a:srgbClr val="B2C58E"/>
              </a:solidFill>
              <a:ln xmlns:a="http://schemas.openxmlformats.org/drawingml/2006/main" w="9525">
                <a:solidFill>
                  <a:srgbClr val="B2C58E"/>
                </a:solidFill>
              </a:ln>
            </c:spPr>
          </c:marker>
          <c:cat>
            <c:strRef>
              <c:f>'03_교구별그래프'!$U$63:$U$66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'03_교구별그래프'!$W$63:$W$66</c:f>
              <c:numCache>
                <c:formatCode>0.0</c:formatCode>
                <c:ptCount val="4"/>
                <c:pt idx="0">
                  <c:v>14.833333333333334</c:v>
                </c:pt>
                <c:pt idx="1">
                  <c:v>15</c:v>
                </c:pt>
                <c:pt idx="2">
                  <c:v>15.166666666666666</c:v>
                </c:pt>
                <c:pt idx="3">
                  <c:v>15.833333333333334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ple SD Gothic Neo"/>
                <a:ea typeface="Apple SD Gothic Neo"/>
                <a:cs typeface="Apple SD Gothic Neo"/>
              </a:defRPr>
            </a:pPr>
          </a:p>
        </c:txPr>
        <c:crossAx val="48672768"/>
      </c:catAx>
      <c:valAx>
        <c:axId val="48672768"/>
        <c:scaling>
          <c:orientation val="minMax"/>
          <c:min val="5"/>
          <c:max val="3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ple SD Gothic Neo"/>
                <a:ea typeface="Apple SD Gothic Neo"/>
                <a:cs typeface="Apple SD Gothic Neo"/>
              </a:defRPr>
            </a:pPr>
          </a:p>
        </c:txPr>
        <c:crossAx val="48650112"/>
        <c:crossBetween val="between"/>
        <c:majorUnit val="10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ple SD Gothic Neo"/>
              <a:ea typeface="Apple SD Gothic Neo"/>
              <a:cs typeface="Apple SD Gothic Neo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팀 인원</c:v>
          </c:tx>
          <c:spPr>
            <a:solidFill xmlns:a="http://schemas.openxmlformats.org/drawingml/2006/main">
              <a:srgbClr val="7B9D42"/>
            </a:solidFill>
            <a:ln xmlns:a="http://schemas.openxmlformats.org/drawingml/2006/main" w="19050">
              <a:solidFill>
                <a:srgbClr val="7B9D42"/>
              </a:solidFill>
              <a:prstDash val="solid"/>
            </a:ln>
          </c:spPr>
          <c:marker>
            <c:symbol val="diamond"/>
            <c:size val="4"/>
            <c:spPr>
              <a:solidFill xmlns:a="http://schemas.openxmlformats.org/drawingml/2006/main">
                <a:srgbClr val="7B9D42"/>
              </a:solidFill>
              <a:ln xmlns:a="http://schemas.openxmlformats.org/drawingml/2006/main" w="9525">
                <a:solidFill>
                  <a:srgbClr val="7B9D42"/>
                </a:solidFill>
              </a:ln>
            </c:spPr>
          </c:marker>
          <c:dLbls>
            <c:numFmt formatCode="0" sourceLinked="0"/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50">
                    <a:solidFill>
                      <a:srgbClr val="333333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'03_교구별그래프'!$U$69:$U$72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'03_교구별그래프'!$V$69:$V$72</c:f>
              <c:numCache>
                <c:formatCode>0</c:formatCode>
                <c:ptCount val="4"/>
                <c:pt idx="0">
                  <c:v>13</c:v>
                </c:pt>
                <c:pt idx="1">
                  <c:v>15</c:v>
                </c:pt>
                <c:pt idx="2">
                  <c:v>17</c:v>
                </c:pt>
                <c:pt idx="3">
                  <c:v>19</c:v>
                </c:pt>
              </c:numCache>
            </c:numRef>
          </c:val>
          <c:smooth val="0"/>
        </c:ser>
        <c:ser>
          <c:idx val="1"/>
          <c:order val="1"/>
          <c:tx>
            <c:v>교구 평균</c:v>
          </c:tx>
          <c:spPr>
            <a:solidFill xmlns:a="http://schemas.openxmlformats.org/drawingml/2006/main">
              <a:srgbClr val="B2C58E"/>
            </a:solidFill>
            <a:ln xmlns:a="http://schemas.openxmlformats.org/drawingml/2006/main" w="19050">
              <a:solidFill>
                <a:srgbClr val="B2C58E"/>
              </a:solidFill>
              <a:prstDash val="solid"/>
            </a:ln>
          </c:spPr>
          <c:marker>
            <c:symbol val="square"/>
            <c:size val="4"/>
            <c:spPr>
              <a:solidFill xmlns:a="http://schemas.openxmlformats.org/drawingml/2006/main">
                <a:srgbClr val="B2C58E"/>
              </a:solidFill>
              <a:ln xmlns:a="http://schemas.openxmlformats.org/drawingml/2006/main" w="9525">
                <a:solidFill>
                  <a:srgbClr val="B2C58E"/>
                </a:solidFill>
              </a:ln>
            </c:spPr>
          </c:marker>
          <c:cat>
            <c:strRef>
              <c:f>'03_교구별그래프'!$U$69:$U$72</c:f>
              <c:strCache>
                <c:ptCount val="4"/>
                <c:pt idx="0">
                  <c:v>8/15</c:v>
                </c:pt>
                <c:pt idx="1">
                  <c:v>8/22</c:v>
                </c:pt>
                <c:pt idx="2">
                  <c:v>8/29</c:v>
                </c:pt>
                <c:pt idx="3">
                  <c:v>9/5</c:v>
                </c:pt>
              </c:strCache>
            </c:strRef>
          </c:cat>
          <c:val>
            <c:numRef>
              <c:f>'03_교구별그래프'!$W$69:$W$72</c:f>
              <c:numCache>
                <c:formatCode>0.0</c:formatCode>
                <c:ptCount val="4"/>
                <c:pt idx="0">
                  <c:v>14.833333333333334</c:v>
                </c:pt>
                <c:pt idx="1">
                  <c:v>15</c:v>
                </c:pt>
                <c:pt idx="2">
                  <c:v>15.166666666666666</c:v>
                </c:pt>
                <c:pt idx="3">
                  <c:v>15.833333333333334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ple SD Gothic Neo"/>
                <a:ea typeface="Apple SD Gothic Neo"/>
                <a:cs typeface="Apple SD Gothic Neo"/>
              </a:defRPr>
            </a:pPr>
          </a:p>
        </c:txPr>
        <c:crossAx val="48672768"/>
      </c:catAx>
      <c:valAx>
        <c:axId val="48672768"/>
        <c:scaling>
          <c:orientation val="minMax"/>
          <c:min val="5"/>
          <c:max val="3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ple SD Gothic Neo"/>
                <a:ea typeface="Apple SD Gothic Neo"/>
                <a:cs typeface="Apple SD Gothic Neo"/>
              </a:defRPr>
            </a:pPr>
          </a:p>
        </c:txPr>
        <c:crossAx val="48650112"/>
        <c:crossBetween val="between"/>
        <c:majorUnit val="10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ple SD Gothic Neo"/>
              <a:ea typeface="Apple SD Gothic Neo"/>
              <a:cs typeface="Apple SD Gothic Neo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15</xdr:row>
      <xdr:rowOff>0</xdr:rowOff>
    </xdr:from>
    <xdr:to>
      <xdr:col>11</xdr:col>
      <xdr:colOff>0</xdr:colOff>
      <xdr:row>36</xdr:row>
      <xdr:rowOff>0</xdr:rowOff>
    </xdr:to>
    <xdr:graphicFrame macro="">
      <xdr:nvGraphicFramePr>
        <xdr:cNvPr id="1" name="ReportChart1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6f1ef0e9b4454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7</xdr:row>
      <xdr:rowOff>0</xdr:rowOff>
    </xdr:from>
    <xdr:to>
      <xdr:col>6</xdr:col>
      <xdr:colOff>0</xdr:colOff>
      <xdr:row>18</xdr:row>
      <xdr:rowOff>0</xdr:rowOff>
    </xdr:to>
    <xdr:graphicFrame macro="">
      <xdr:nvGraphicFramePr>
        <xdr:cNvPr id="1" name="ReportChart1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1ebddf87db4e71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ReportChart2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9b0bf943a44e65"/>
        </a:graphicData>
      </a:graphic>
    </xdr:graphicFrame>
    <xdr:clientData/>
  </xdr:twoCellAnchor>
  <xdr:twoCellAnchor>
    <xdr:from>
      <xdr:col>12</xdr:col>
      <xdr:colOff>0</xdr:colOff>
      <xdr:row>7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3" name="ReportChart3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5d806eef7b4069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6</xdr:col>
      <xdr:colOff>0</xdr:colOff>
      <xdr:row>33</xdr:row>
      <xdr:rowOff>0</xdr:rowOff>
    </xdr:to>
    <xdr:graphicFrame macro="">
      <xdr:nvGraphicFramePr>
        <xdr:cNvPr id="4" name="ReportChart4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3edf45d8e84c07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0</xdr:colOff>
      <xdr:row>33</xdr:row>
      <xdr:rowOff>0</xdr:rowOff>
    </xdr:to>
    <xdr:graphicFrame macro="">
      <xdr:nvGraphicFramePr>
        <xdr:cNvPr id="5" name="ReportChart5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ab70144382449d"/>
        </a:graphicData>
      </a:graphic>
    </xdr:graphicFrame>
    <xdr:clientData/>
  </xdr:twoCellAnchor>
  <xdr:twoCellAnchor>
    <xdr:from>
      <xdr:col>12</xdr:col>
      <xdr:colOff>0</xdr:colOff>
      <xdr:row>22</xdr:row>
      <xdr:rowOff>0</xdr:rowOff>
    </xdr:from>
    <xdr:to>
      <xdr:col>18</xdr:col>
      <xdr:colOff>0</xdr:colOff>
      <xdr:row>33</xdr:row>
      <xdr:rowOff>0</xdr:rowOff>
    </xdr:to>
    <xdr:graphicFrame macro="">
      <xdr:nvGraphicFramePr>
        <xdr:cNvPr id="6" name="ReportChart6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fdd21203e14fa6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6</xdr:col>
      <xdr:colOff>0</xdr:colOff>
      <xdr:row>48</xdr:row>
      <xdr:rowOff>0</xdr:rowOff>
    </xdr:to>
    <xdr:graphicFrame macro="">
      <xdr:nvGraphicFramePr>
        <xdr:cNvPr id="7" name="ReportChart7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68f514cdd64c17"/>
        </a:graphicData>
      </a:graphic>
    </xdr:graphicFrame>
    <xdr:clientData/>
  </xdr:twoCellAnchor>
  <xdr:twoCellAnchor>
    <xdr:from>
      <xdr:col>6</xdr:col>
      <xdr:colOff>0</xdr:colOff>
      <xdr:row>37</xdr:row>
      <xdr:rowOff>0</xdr:rowOff>
    </xdr:from>
    <xdr:to>
      <xdr:col>12</xdr:col>
      <xdr:colOff>0</xdr:colOff>
      <xdr:row>48</xdr:row>
      <xdr:rowOff>0</xdr:rowOff>
    </xdr:to>
    <xdr:graphicFrame macro="">
      <xdr:nvGraphicFramePr>
        <xdr:cNvPr id="8" name="ReportChart8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87fed1c0cf459e"/>
        </a:graphicData>
      </a:graphic>
    </xdr:graphicFrame>
    <xdr:clientData/>
  </xdr:twoCellAnchor>
  <xdr:twoCellAnchor>
    <xdr:from>
      <xdr:col>12</xdr:col>
      <xdr:colOff>0</xdr:colOff>
      <xdr:row>37</xdr:row>
      <xdr:rowOff>0</xdr:rowOff>
    </xdr:from>
    <xdr:to>
      <xdr:col>18</xdr:col>
      <xdr:colOff>0</xdr:colOff>
      <xdr:row>48</xdr:row>
      <xdr:rowOff>0</xdr:rowOff>
    </xdr:to>
    <xdr:graphicFrame macro="">
      <xdr:nvGraphicFramePr>
        <xdr:cNvPr id="9" name="ReportChart9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f2cdcddd2d4b84"/>
        </a:graphicData>
      </a:graphic>
    </xdr:graphicFrame>
    <xdr:clientData/>
  </xdr:twoCellAnchor>
  <xdr:twoCellAnchor>
    <xdr:from>
      <xdr:col>0</xdr:col>
      <xdr:colOff>0</xdr:colOff>
      <xdr:row>52</xdr:row>
      <xdr:rowOff>0</xdr:rowOff>
    </xdr:from>
    <xdr:to>
      <xdr:col>6</xdr:col>
      <xdr:colOff>0</xdr:colOff>
      <xdr:row>63</xdr:row>
      <xdr:rowOff>0</xdr:rowOff>
    </xdr:to>
    <xdr:graphicFrame macro="">
      <xdr:nvGraphicFramePr>
        <xdr:cNvPr id="10" name="ReportChart10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da0db4e13d47b7"/>
        </a:graphicData>
      </a:graphic>
    </xdr:graphicFrame>
    <xdr:clientData/>
  </xdr:twoCellAnchor>
  <xdr:twoCellAnchor>
    <xdr:from>
      <xdr:col>6</xdr:col>
      <xdr:colOff>0</xdr:colOff>
      <xdr:row>52</xdr:row>
      <xdr:rowOff>0</xdr:rowOff>
    </xdr:from>
    <xdr:to>
      <xdr:col>12</xdr:col>
      <xdr:colOff>0</xdr:colOff>
      <xdr:row>63</xdr:row>
      <xdr:rowOff>0</xdr:rowOff>
    </xdr:to>
    <xdr:graphicFrame macro="">
      <xdr:nvGraphicFramePr>
        <xdr:cNvPr id="11" name="ReportChart11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b6fd1ef1b34290"/>
        </a:graphicData>
      </a:graphic>
    </xdr:graphicFrame>
    <xdr:clientData/>
  </xdr:twoCellAnchor>
  <xdr:twoCellAnchor>
    <xdr:from>
      <xdr:col>12</xdr:col>
      <xdr:colOff>0</xdr:colOff>
      <xdr:row>52</xdr:row>
      <xdr:rowOff>0</xdr:rowOff>
    </xdr:from>
    <xdr:to>
      <xdr:col>18</xdr:col>
      <xdr:colOff>0</xdr:colOff>
      <xdr:row>63</xdr:row>
      <xdr:rowOff>0</xdr:rowOff>
    </xdr:to>
    <xdr:graphicFrame macro="">
      <xdr:nvGraphicFramePr>
        <xdr:cNvPr id="12" name="ReportChart12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bba93bd7404e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7899ef9ec2a46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85409f7f29804f7b" /></Relationships>
</file>

<file path=xl/worksheets/sheet1.xml><?xml version="1.0" encoding="utf-8"?>
<x:worksheet xmlns:x="http://schemas.openxmlformats.org/spreadsheetml/2006/main">
  <x:sheetPr>
    <x:tabColor rgb="FF294D40"/>
    <x:pageSetUpPr fitToPage="1"/>
  </x:sheetPr>
  <x:sheetViews>
    <x:sheetView showGridLines="0" workbookViewId="0"/>
  </x:sheetViews>
  <x:sheetFormatPr defaultRowHeight="15"/>
  <x:cols>
    <x:col min="1" max="1" width="7.21999979019165" hidden="0" customWidth="1"/>
    <x:col min="2" max="2" width="7.21999979019165" hidden="0" customWidth="1"/>
    <x:col min="3" max="3" width="7.21999979019165" hidden="0" customWidth="1"/>
    <x:col min="4" max="4" width="7.21999979019165" hidden="0" customWidth="1"/>
    <x:col min="5" max="5" width="7.21999979019165" hidden="0" customWidth="1"/>
    <x:col min="6" max="6" width="7.21999979019165" hidden="0" customWidth="1"/>
    <x:col min="7" max="7" width="7.21999979019165" hidden="0" customWidth="1"/>
    <x:col min="8" max="8" width="7.21999979019165" hidden="0" customWidth="1"/>
    <x:col min="9" max="9" width="7.21999979019165" hidden="0" customWidth="1"/>
    <x:col min="10" max="10" width="7.21999979019165" hidden="0" customWidth="1"/>
    <x:col min="11" max="11" width="7.21999979019165" hidden="0" customWidth="1"/>
    <x:col min="12" max="12" width="7.21999979019165" hidden="0" customWidth="1"/>
  </x:cols>
  <x:sheetData>
    <x:row r="1" ht="15" customHeight="1">
      <x:c r="A1" s="88" t="str">
        <x:v>뉴송 예배 인원 보고서</x:v>
      </x:c>
      <x:c r="B1" s="88"/>
      <x:c r="C1" s="88"/>
      <x:c r="D1" s="88"/>
      <x:c r="E1" s="88"/>
      <x:c r="F1" s="88"/>
      <x:c r="G1" s="88"/>
      <x:c r="H1" s="88"/>
      <x:c r="I1" s="90" t="n">
        <x:v>46270</x:v>
      </x:c>
      <x:c r="J1" s="89"/>
      <x:c r="K1" s="89"/>
      <x:c r="L1" s="89"/>
      <x:c r="N1" t="str">
        <x:v>날짜</x:v>
      </x:c>
      <x:c r="O1" t="str">
        <x:v>1교구</x:v>
      </x:c>
      <x:c r="P1" t="str">
        <x:v>2교구</x:v>
      </x:c>
      <x:c r="Q1" t="str">
        <x:v>3교구</x:v>
      </x:c>
      <x:c r="R1" t="str">
        <x:v>2026년</x:v>
      </x:c>
      <x:c r="S1" t="str">
        <x:v>2025년</x:v>
      </x:c>
      <x:c r="T1" t="str">
        <x:v>2024년</x:v>
      </x:c>
    </x:row>
    <x:row r="2" ht="15" customHeight="1">
      <x:c r="A2" s="88"/>
      <x:c r="B2" s="88"/>
      <x:c r="C2" s="88"/>
      <x:c r="D2" s="88"/>
      <x:c r="E2" s="88"/>
      <x:c r="F2" s="88"/>
      <x:c r="G2" s="88"/>
      <x:c r="H2" s="88"/>
      <x:c r="I2" s="89"/>
      <x:c r="J2" s="89"/>
      <x:c r="K2" s="89"/>
      <x:c r="L2" s="89"/>
      <x:c r="N2" t="str">
        <x:v>8/15</x:v>
      </x:c>
      <x:c r="O2" t="n">
        <x:f>'02_전체출석'!D17</x:f>
        <x:v>175</x:v>
      </x:c>
      <x:c r="P2" t="n">
        <x:f>'02_전체출석'!D31</x:f>
        <x:v>178</x:v>
      </x:c>
      <x:c r="Q2" t="n">
        <x:f>'02_전체출석'!D45</x:f>
        <x:v>181</x:v>
      </x:c>
      <x:c r="R2" t="n">
        <x:f>'02_전체출석'!D50</x:f>
        <x:v>594</x:v>
      </x:c>
      <x:c r="S2" t="n">
        <x:v>602</x:v>
      </x:c>
      <x:c r="T2" t="n">
        <x:v>521</x:v>
      </x:c>
    </x:row>
    <x:row r="3" ht="15" customHeight="1">
      <x:c r="A3" s="19" t="str">
        <x:v>디자인 검토용 · 모든 숫자와 명단은 가상 데이터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N3" t="str">
        <x:v>8/22</x:v>
      </x:c>
      <x:c r="O3" t="n">
        <x:f>'02_전체출석'!E17</x:f>
        <x:v>177</x:v>
      </x:c>
      <x:c r="P3" t="n">
        <x:f>'02_전체출석'!E31</x:f>
        <x:v>180</x:v>
      </x:c>
      <x:c r="Q3" t="n">
        <x:f>'02_전체출석'!E45</x:f>
        <x:v>183</x:v>
      </x:c>
      <x:c r="R3" t="n">
        <x:f>'02_전체출석'!E50</x:f>
        <x:v>603</x:v>
      </x:c>
      <x:c r="S3" t="n">
        <x:v>590</x:v>
      </x:c>
      <x:c r="T3" t="n">
        <x:v>528</x:v>
      </x:c>
    </x:row>
    <x:row r="4" ht="15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N4" t="str">
        <x:v>8/29</x:v>
      </x:c>
      <x:c r="O4" t="n">
        <x:f>'02_전체출석'!F17</x:f>
        <x:v>179</x:v>
      </x:c>
      <x:c r="P4" t="n">
        <x:f>'02_전체출석'!F31</x:f>
        <x:v>182</x:v>
      </x:c>
      <x:c r="Q4" t="n">
        <x:f>'02_전체출석'!F45</x:f>
        <x:v>185</x:v>
      </x:c>
      <x:c r="R4" t="n">
        <x:f>'02_전체출석'!F50</x:f>
        <x:v>608</x:v>
      </x:c>
      <x:c r="S4" t="n">
        <x:v>579</x:v>
      </x:c>
      <x:c r="T4" t="n">
        <x:v>516</x:v>
      </x:c>
    </x:row>
    <x:row r="5" ht="15" customHeight="1">
      <x:c r="A5" s="91" t="str">
        <x:v>▪ 주요 인원 통계</x:v>
      </x:c>
      <x:c r="B5" s="91"/>
      <x:c r="C5" s="91"/>
      <x:c r="D5" s="91"/>
      <x:c r="E5" s="91"/>
      <x:c r="F5" s="91"/>
      <x:c r="G5" s="91"/>
      <x:c r="H5" s="91"/>
      <x:c r="I5" s="91"/>
      <x:c r="J5" s="91"/>
      <x:c r="K5" s="91"/>
      <x:c r="L5" s="91"/>
      <x:c r="N5" t="str">
        <x:v>9/5</x:v>
      </x:c>
      <x:c r="O5" t="n">
        <x:f>'02_전체출석'!G17</x:f>
        <x:v>187</x:v>
      </x:c>
      <x:c r="P5" t="n">
        <x:f>'02_전체출석'!G31</x:f>
        <x:v>190</x:v>
      </x:c>
      <x:c r="Q5" t="n">
        <x:f>'02_전체출석'!G45</x:f>
        <x:v>182</x:v>
      </x:c>
      <x:c r="R5" t="n">
        <x:f>'02_전체출석'!G50</x:f>
        <x:v>623</x:v>
      </x:c>
      <x:c r="S5" t="n">
        <x:v>564</x:v>
      </x:c>
      <x:c r="T5" t="n">
        <x:v>530</x:v>
      </x:c>
    </x:row>
    <x:row r="6" ht="15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</x:row>
    <x:row r="7" ht="15" customHeight="1">
      <x:c r="A7" s="42" t="str">
        <x:v>날짜</x:v>
      </x:c>
      <x:c r="B7" s="42" t="str">
        <x:v>교구 인원</x:v>
      </x:c>
      <x:c r="C7" s="42"/>
      <x:c r="D7" s="42"/>
      <x:c r="E7" s="42"/>
      <x:c r="F7" s="42" t="str">
        <x:v>저기수 인원</x:v>
      </x:c>
      <x:c r="G7" s="42"/>
      <x:c r="H7" s="42" t="str">
        <x:v>새가족</x:v>
      </x:c>
      <x:c r="I7" s="42"/>
      <x:c r="J7" s="42" t="str">
        <x:v>주요지체 출석 인원</x:v>
      </x:c>
      <x:c r="K7" s="42"/>
      <x:c r="L7" s="42"/>
    </x:row>
    <x:row r="8" ht="15" customHeight="1">
      <x:c r="A8" s="42"/>
      <x:c r="B8" s="42" t="str">
        <x:v>총인원</x:v>
      </x:c>
      <x:c r="C8" s="42" t="str">
        <x:v>1교구</x:v>
      </x:c>
      <x:c r="D8" s="42" t="str">
        <x:v>2교구</x:v>
      </x:c>
      <x:c r="E8" s="42" t="str">
        <x:v>3교구</x:v>
      </x:c>
      <x:c r="F8" s="42" t="str">
        <x:v>45기</x:v>
      </x:c>
      <x:c r="G8" s="42" t="str">
        <x:v>46기</x:v>
      </x:c>
      <x:c r="H8" s="42" t="str">
        <x:v>새가족</x:v>
      </x:c>
      <x:c r="I8" s="42" t="str">
        <x:v>등반자</x:v>
      </x:c>
      <x:c r="J8" s="42" t="str">
        <x:v>A</x:v>
      </x:c>
      <x:c r="K8" s="42" t="str">
        <x:v>B</x:v>
      </x:c>
      <x:c r="L8" s="42" t="str">
        <x:v>C</x:v>
      </x:c>
    </x:row>
    <x:row r="9" ht="15" customHeight="1">
      <x:c r="A9" s="94" t="n">
        <x:v>46270</x:v>
      </x:c>
      <x:c r="B9" s="27" t="n">
        <x:f>'02_전체출석'!G50</x:f>
        <x:v>623</x:v>
      </x:c>
      <x:c r="C9" s="27" t="n">
        <x:f>'02_전체출석'!G17</x:f>
        <x:v>187</x:v>
      </x:c>
      <x:c r="D9" s="27" t="n">
        <x:f>'02_전체출석'!G31</x:f>
        <x:v>190</x:v>
      </x:c>
      <x:c r="E9" s="27" t="n">
        <x:f>'02_전체출석'!G45</x:f>
        <x:v>182</x:v>
      </x:c>
      <x:c r="F9" s="27" t="n">
        <x:f>'06_45기추이'!G46</x:f>
        <x:v>54</x:v>
      </x:c>
      <x:c r="G9" s="27" t="n">
        <x:f>'08_46기추이'!G46</x:f>
        <x:v>54</x:v>
      </x:c>
      <x:c r="H9" s="27" t="n">
        <x:f>'09_새가족현황'!I9</x:f>
        <x:v>49</x:v>
      </x:c>
      <x:c r="I9" s="27" t="n">
        <x:f>SUM('09_새가족현황'!G9:H9)</x:f>
        <x:v>15</x:v>
      </x:c>
      <x:c r="J9" s="27" t="n">
        <x:v>272</x:v>
      </x:c>
      <x:c r="K9" s="27" t="n">
        <x:v>95</x:v>
      </x:c>
      <x:c r="L9" s="27" t="n">
        <x:v>52</x:v>
      </x:c>
    </x:row>
    <x:row r="10" ht="15" customHeight="1">
      <x:c r="A10" s="42" t="str">
        <x:v>전주비</x:v>
      </x:c>
      <x:c r="B10" s="42" t="n">
        <x:f>'02_전체출석'!H50</x:f>
        <x:v>15</x:v>
      </x:c>
      <x:c r="C10" s="42" t="n">
        <x:f>'02_전체출석'!H17</x:f>
        <x:v>8</x:v>
      </x:c>
      <x:c r="D10" s="42" t="n">
        <x:f>'02_전체출석'!H31</x:f>
        <x:v>8</x:v>
      </x:c>
      <x:c r="E10" s="42" t="n">
        <x:f>'02_전체출석'!H45</x:f>
        <x:v>-3</x:v>
      </x:c>
      <x:c r="F10" s="42" t="n">
        <x:f>'06_45기추이'!H46</x:f>
        <x:v>-3</x:v>
      </x:c>
      <x:c r="G10" s="42" t="n">
        <x:f>'08_46기추이'!H46</x:f>
        <x:v>-3</x:v>
      </x:c>
      <x:c r="H10" s="42" t="n">
        <x:v>2</x:v>
      </x:c>
      <x:c r="I10" s="42" t="n">
        <x:v>1</x:v>
      </x:c>
      <x:c r="J10" s="42" t="n">
        <x:v>3</x:v>
      </x:c>
      <x:c r="K10" s="42" t="n">
        <x:v>-2</x:v>
      </x:c>
      <x:c r="L10" s="42" t="n">
        <x:v>1</x:v>
      </x:c>
    </x:row>
    <x:row r="11" ht="15" customHeight="1">
      <x:c r="A11" s="4"/>
      <x:c r="B11" s="4"/>
      <x:c r="C11" s="4"/>
      <x:c r="D11" s="4"/>
      <x:c r="E11" s="4"/>
      <x:c r="F11" s="4"/>
      <x:c r="G11" s="95" t="str">
        <x:v>출석률  A: 80% 이상   B: 60% 이상</x:v>
      </x:c>
      <x:c r="H11" s="95"/>
      <x:c r="I11" s="95"/>
      <x:c r="J11" s="95"/>
      <x:c r="K11" s="95"/>
      <x:c r="L11" s="95"/>
    </x:row>
    <x:row r="12" ht="15" customHeight="1">
      <x:c r="A12" s="4"/>
      <x:c r="B12" s="4"/>
      <x:c r="C12" s="4"/>
      <x:c r="D12" s="4"/>
      <x:c r="E12" s="4"/>
      <x:c r="F12" s="4"/>
      <x:c r="G12" s="95" t="str">
        <x:v>C: 40% 이상   D: 0~39.9%</x:v>
      </x:c>
      <x:c r="H12" s="95"/>
      <x:c r="I12" s="95"/>
      <x:c r="J12" s="95"/>
      <x:c r="K12" s="95"/>
      <x:c r="L12" s="95"/>
    </x:row>
    <x:row r="13" ht="15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</x:row>
    <x:row r="14" ht="15" customHeight="1">
      <x:c r="A14" s="4"/>
      <x:c r="B14" s="98" t="str">
        <x:v>Newsong J 대학부 인원</x:v>
      </x:c>
      <x:c r="C14" s="99"/>
      <x:c r="D14" s="99"/>
      <x:c r="E14" s="99"/>
      <x:c r="F14" s="99"/>
      <x:c r="G14" s="99"/>
      <x:c r="H14" s="99"/>
      <x:c r="I14" s="99"/>
      <x:c r="J14" s="99"/>
      <x:c r="K14" s="100"/>
      <x:c r="L14" s="4"/>
    </x:row>
    <x:row r="15" ht="15" customHeight="1">
      <x:c r="A15" s="4"/>
      <x:c r="B15" s="101"/>
      <x:c r="C15" s="97"/>
      <x:c r="D15" s="97"/>
      <x:c r="E15" s="97"/>
      <x:c r="F15" s="97"/>
      <x:c r="G15" s="97"/>
      <x:c r="H15" s="97"/>
      <x:c r="I15" s="97"/>
      <x:c r="J15" s="97"/>
      <x:c r="K15" s="102"/>
      <x:c r="L15" s="4"/>
    </x:row>
    <x:row r="16" ht="15" customHeight="1">
      <x:c r="A16" s="4"/>
      <x:c r="B16" s="82"/>
      <x:c r="C16" s="4"/>
      <x:c r="D16" s="4"/>
      <x:c r="E16" s="4"/>
      <x:c r="F16" s="4"/>
      <x:c r="G16" s="4"/>
      <x:c r="H16" s="4"/>
      <x:c r="I16" s="4"/>
      <x:c r="J16" s="4"/>
      <x:c r="K16" s="83"/>
      <x:c r="L16" s="4"/>
    </x:row>
    <x:row r="17" ht="15" customHeight="1">
      <x:c r="A17" s="4"/>
      <x:c r="B17" s="82"/>
      <x:c r="C17" s="4"/>
      <x:c r="D17" s="4"/>
      <x:c r="E17" s="4"/>
      <x:c r="F17" s="4"/>
      <x:c r="G17" s="4"/>
      <x:c r="H17" s="4"/>
      <x:c r="I17" s="4"/>
      <x:c r="J17" s="4"/>
      <x:c r="K17" s="83"/>
      <x:c r="L17" s="4"/>
    </x:row>
    <x:row r="18" ht="15" customHeight="1">
      <x:c r="A18" s="4"/>
      <x:c r="B18" s="82"/>
      <x:c r="C18" s="4"/>
      <x:c r="D18" s="4"/>
      <x:c r="E18" s="4"/>
      <x:c r="F18" s="4"/>
      <x:c r="G18" s="4"/>
      <x:c r="H18" s="4"/>
      <x:c r="I18" s="4"/>
      <x:c r="J18" s="4"/>
      <x:c r="K18" s="83"/>
      <x:c r="L18" s="4"/>
    </x:row>
    <x:row r="19" ht="15" customHeight="1">
      <x:c r="A19" s="4"/>
      <x:c r="B19" s="82"/>
      <x:c r="C19" s="4"/>
      <x:c r="D19" s="4"/>
      <x:c r="E19" s="4"/>
      <x:c r="F19" s="4"/>
      <x:c r="G19" s="4"/>
      <x:c r="H19" s="4"/>
      <x:c r="I19" s="4"/>
      <x:c r="J19" s="4"/>
      <x:c r="K19" s="83"/>
      <x:c r="L19" s="4"/>
    </x:row>
    <x:row r="20" ht="15" customHeight="1">
      <x:c r="A20" s="4"/>
      <x:c r="B20" s="82"/>
      <x:c r="C20" s="4"/>
      <x:c r="D20" s="4"/>
      <x:c r="E20" s="4"/>
      <x:c r="F20" s="4"/>
      <x:c r="G20" s="4"/>
      <x:c r="H20" s="4"/>
      <x:c r="I20" s="4"/>
      <x:c r="J20" s="4"/>
      <x:c r="K20" s="83"/>
      <x:c r="L20" s="4"/>
    </x:row>
    <x:row r="21" ht="15" customHeight="1">
      <x:c r="A21" s="4"/>
      <x:c r="B21" s="82"/>
      <x:c r="C21" s="4"/>
      <x:c r="D21" s="4"/>
      <x:c r="E21" s="4"/>
      <x:c r="F21" s="4"/>
      <x:c r="G21" s="4"/>
      <x:c r="H21" s="4"/>
      <x:c r="I21" s="4"/>
      <x:c r="J21" s="4"/>
      <x:c r="K21" s="83"/>
      <x:c r="L21" s="4"/>
    </x:row>
    <x:row r="22" ht="15" customHeight="1">
      <x:c r="A22" s="4"/>
      <x:c r="B22" s="82"/>
      <x:c r="C22" s="4"/>
      <x:c r="D22" s="4"/>
      <x:c r="E22" s="4"/>
      <x:c r="F22" s="4"/>
      <x:c r="G22" s="4"/>
      <x:c r="H22" s="4"/>
      <x:c r="I22" s="4"/>
      <x:c r="J22" s="4"/>
      <x:c r="K22" s="83"/>
      <x:c r="L22" s="4"/>
    </x:row>
    <x:row r="23" ht="15" customHeight="1">
      <x:c r="A23" s="4"/>
      <x:c r="B23" s="82"/>
      <x:c r="C23" s="4"/>
      <x:c r="D23" s="4"/>
      <x:c r="E23" s="4"/>
      <x:c r="F23" s="4"/>
      <x:c r="G23" s="4"/>
      <x:c r="H23" s="4"/>
      <x:c r="I23" s="4"/>
      <x:c r="J23" s="4"/>
      <x:c r="K23" s="83"/>
      <x:c r="L23" s="4"/>
    </x:row>
    <x:row r="24" ht="15" customHeight="1">
      <x:c r="A24" s="4"/>
      <x:c r="B24" s="82"/>
      <x:c r="C24" s="4"/>
      <x:c r="D24" s="4"/>
      <x:c r="E24" s="4"/>
      <x:c r="F24" s="4"/>
      <x:c r="G24" s="4"/>
      <x:c r="H24" s="4"/>
      <x:c r="I24" s="4"/>
      <x:c r="J24" s="4"/>
      <x:c r="K24" s="83"/>
      <x:c r="L24" s="4"/>
    </x:row>
    <x:row r="25" ht="15" customHeight="1">
      <x:c r="A25" s="4"/>
      <x:c r="B25" s="82"/>
      <x:c r="C25" s="4"/>
      <x:c r="D25" s="4"/>
      <x:c r="E25" s="4"/>
      <x:c r="F25" s="4"/>
      <x:c r="G25" s="4"/>
      <x:c r="H25" s="4"/>
      <x:c r="I25" s="4"/>
      <x:c r="J25" s="4"/>
      <x:c r="K25" s="83"/>
      <x:c r="L25" s="4"/>
    </x:row>
    <x:row r="26" ht="15" customHeight="1">
      <x:c r="A26" s="4"/>
      <x:c r="B26" s="82"/>
      <x:c r="C26" s="4"/>
      <x:c r="D26" s="4"/>
      <x:c r="E26" s="4"/>
      <x:c r="F26" s="4"/>
      <x:c r="G26" s="4"/>
      <x:c r="H26" s="4"/>
      <x:c r="I26" s="4"/>
      <x:c r="J26" s="4"/>
      <x:c r="K26" s="83"/>
      <x:c r="L26" s="4"/>
    </x:row>
    <x:row r="27" ht="15" customHeight="1">
      <x:c r="A27" s="4"/>
      <x:c r="B27" s="82"/>
      <x:c r="C27" s="4"/>
      <x:c r="D27" s="4"/>
      <x:c r="E27" s="4"/>
      <x:c r="F27" s="4"/>
      <x:c r="G27" s="4"/>
      <x:c r="H27" s="4"/>
      <x:c r="I27" s="4"/>
      <x:c r="J27" s="4"/>
      <x:c r="K27" s="83"/>
      <x:c r="L27" s="4"/>
    </x:row>
    <x:row r="28" ht="15" customHeight="1">
      <x:c r="A28" s="4"/>
      <x:c r="B28" s="82"/>
      <x:c r="C28" s="4"/>
      <x:c r="D28" s="4"/>
      <x:c r="E28" s="4"/>
      <x:c r="F28" s="4"/>
      <x:c r="G28" s="4"/>
      <x:c r="H28" s="4"/>
      <x:c r="I28" s="4"/>
      <x:c r="J28" s="4"/>
      <x:c r="K28" s="83"/>
      <x:c r="L28" s="4"/>
    </x:row>
    <x:row r="29" ht="15" customHeight="1">
      <x:c r="A29" s="4"/>
      <x:c r="B29" s="82"/>
      <x:c r="C29" s="4"/>
      <x:c r="D29" s="4"/>
      <x:c r="E29" s="4"/>
      <x:c r="F29" s="4"/>
      <x:c r="G29" s="4"/>
      <x:c r="H29" s="4"/>
      <x:c r="I29" s="4"/>
      <x:c r="J29" s="4"/>
      <x:c r="K29" s="83"/>
      <x:c r="L29" s="4"/>
    </x:row>
    <x:row r="30" ht="15" customHeight="1">
      <x:c r="A30" s="4"/>
      <x:c r="B30" s="82"/>
      <x:c r="C30" s="4"/>
      <x:c r="D30" s="4"/>
      <x:c r="E30" s="4"/>
      <x:c r="F30" s="4"/>
      <x:c r="G30" s="4"/>
      <x:c r="H30" s="4"/>
      <x:c r="I30" s="4"/>
      <x:c r="J30" s="4"/>
      <x:c r="K30" s="83"/>
      <x:c r="L30" s="4"/>
    </x:row>
    <x:row r="31" ht="15" customHeight="1">
      <x:c r="A31" s="4"/>
      <x:c r="B31" s="82"/>
      <x:c r="C31" s="4"/>
      <x:c r="D31" s="4"/>
      <x:c r="E31" s="4"/>
      <x:c r="F31" s="4"/>
      <x:c r="G31" s="4"/>
      <x:c r="H31" s="4"/>
      <x:c r="I31" s="4"/>
      <x:c r="J31" s="4"/>
      <x:c r="K31" s="83"/>
      <x:c r="L31" s="4"/>
    </x:row>
    <x:row r="32" ht="15" customHeight="1">
      <x:c r="A32" s="4"/>
      <x:c r="B32" s="82"/>
      <x:c r="C32" s="4"/>
      <x:c r="D32" s="4"/>
      <x:c r="E32" s="4"/>
      <x:c r="F32" s="4"/>
      <x:c r="G32" s="4"/>
      <x:c r="H32" s="4"/>
      <x:c r="I32" s="4"/>
      <x:c r="J32" s="4"/>
      <x:c r="K32" s="83"/>
      <x:c r="L32" s="4"/>
    </x:row>
    <x:row r="33" ht="15" customHeight="1">
      <x:c r="A33" s="4"/>
      <x:c r="B33" s="82"/>
      <x:c r="C33" s="4"/>
      <x:c r="D33" s="4"/>
      <x:c r="E33" s="4"/>
      <x:c r="F33" s="4"/>
      <x:c r="G33" s="4"/>
      <x:c r="H33" s="4"/>
      <x:c r="I33" s="4"/>
      <x:c r="J33" s="4"/>
      <x:c r="K33" s="83"/>
      <x:c r="L33" s="4"/>
    </x:row>
    <x:row r="34" ht="15" customHeight="1">
      <x:c r="A34" s="4"/>
      <x:c r="B34" s="82"/>
      <x:c r="C34" s="4"/>
      <x:c r="D34" s="4"/>
      <x:c r="E34" s="4"/>
      <x:c r="F34" s="4"/>
      <x:c r="G34" s="4"/>
      <x:c r="H34" s="4"/>
      <x:c r="I34" s="4"/>
      <x:c r="J34" s="4"/>
      <x:c r="K34" s="83"/>
      <x:c r="L34" s="4"/>
    </x:row>
    <x:row r="35" ht="15" customHeight="1">
      <x:c r="A35" s="4"/>
      <x:c r="B35" s="82"/>
      <x:c r="C35" s="4"/>
      <x:c r="D35" s="4"/>
      <x:c r="E35" s="4"/>
      <x:c r="F35" s="4"/>
      <x:c r="G35" s="4"/>
      <x:c r="H35" s="4"/>
      <x:c r="I35" s="4"/>
      <x:c r="J35" s="4"/>
      <x:c r="K35" s="83"/>
      <x:c r="L35" s="4"/>
    </x:row>
    <x:row r="36" ht="15" customHeight="1">
      <x:c r="A36" s="4"/>
      <x:c r="B36" s="82"/>
      <x:c r="C36" s="4"/>
      <x:c r="D36" s="4"/>
      <x:c r="E36" s="4"/>
      <x:c r="F36" s="4"/>
      <x:c r="G36" s="4"/>
      <x:c r="H36" s="4"/>
      <x:c r="I36" s="4"/>
      <x:c r="J36" s="4"/>
      <x:c r="K36" s="83"/>
      <x:c r="L36" s="4"/>
    </x:row>
    <x:row r="37" ht="15" customHeight="1">
      <x:c r="A37" s="4"/>
      <x:c r="B37" s="84"/>
      <x:c r="C37" s="85"/>
      <x:c r="D37" s="85"/>
      <x:c r="E37" s="85"/>
      <x:c r="F37" s="85"/>
      <x:c r="G37" s="85"/>
      <x:c r="H37" s="85"/>
      <x:c r="I37" s="85"/>
      <x:c r="J37" s="85"/>
      <x:c r="K37" s="86"/>
      <x:c r="L37" s="4"/>
    </x:row>
    <x:row r="38" ht="15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</x:row>
    <x:row r="39" ht="15" customHeight="1">
      <x:c r="A39" s="4"/>
      <x:c r="B39" s="21" t="str">
        <x:v>[예시] 금주 인원 변화와 사유를 작성하는 영역입니다.
실제 운영 시 확인된 내용으로 입력합니다.</x:v>
      </x:c>
      <x:c r="C39" s="21"/>
      <x:c r="D39" s="21"/>
      <x:c r="E39" s="21"/>
      <x:c r="F39" s="21"/>
      <x:c r="G39" s="21"/>
      <x:c r="H39" s="21"/>
      <x:c r="I39" s="21"/>
      <x:c r="J39" s="21"/>
      <x:c r="K39" s="21"/>
      <x:c r="L39" s="4"/>
    </x:row>
    <x:row r="40" ht="15" customHeight="1">
      <x:c r="A40" s="4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4"/>
    </x:row>
    <x:row r="41" ht="15" customHeight="1">
      <x:c r="A41" s="4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4"/>
    </x:row>
    <x:row r="42" ht="15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</x:row>
    <x:row r="43" ht="15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</x:row>
    <x:row r="44" ht="1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</x:row>
    <x:row r="45" ht="15" customHeight="1">
      <x:c r="A45" s="4"/>
      <x:c r="B45" s="91" t="str">
        <x:v>▪ 주요 인원 분석</x:v>
      </x:c>
      <x:c r="C45" s="91"/>
      <x:c r="D45" s="91"/>
      <x:c r="E45" s="91"/>
      <x:c r="F45" s="91"/>
      <x:c r="G45" s="91"/>
      <x:c r="H45" s="91"/>
      <x:c r="I45" s="91"/>
      <x:c r="J45" s="91"/>
      <x:c r="K45" s="91"/>
      <x:c r="L45" s="4"/>
    </x:row>
    <x:row r="46" ht="15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</x:row>
    <x:row r="47" ht="15" customHeight="1">
      <x:c r="A47" s="4"/>
      <x:c r="B47" s="42" t="str">
        <x:v>구분</x:v>
      </x:c>
      <x:c r="C47" s="42"/>
      <x:c r="D47" s="42"/>
      <x:c r="E47" s="42" t="str">
        <x:v>1교구</x:v>
      </x:c>
      <x:c r="F47" s="42"/>
      <x:c r="G47" s="42" t="str">
        <x:v>2교구</x:v>
      </x:c>
      <x:c r="H47" s="42"/>
      <x:c r="I47" s="42" t="str">
        <x:v>3교구</x:v>
      </x:c>
      <x:c r="J47" s="42"/>
      <x:c r="K47" s="4"/>
      <x:c r="L47" s="4"/>
    </x:row>
    <x:row r="48" ht="15" customHeight="1">
      <x:c r="A48" s="4"/>
      <x:c r="B48" s="42"/>
      <x:c r="C48" s="42"/>
      <x:c r="D48" s="42"/>
      <x:c r="E48" s="42"/>
      <x:c r="F48" s="42"/>
      <x:c r="G48" s="42"/>
      <x:c r="H48" s="42"/>
      <x:c r="I48" s="42"/>
      <x:c r="J48" s="42"/>
      <x:c r="K48" s="4"/>
      <x:c r="L48" s="4"/>
    </x:row>
    <x:row r="49" ht="15" customHeight="1">
      <x:c r="A49" s="4"/>
      <x:c r="B49" s="42" t="str">
        <x:v>인원 변동</x:v>
      </x:c>
      <x:c r="C49" s="42"/>
      <x:c r="D49" s="42"/>
      <x:c r="E49" s="42" t="n">
        <x:f>'02_전체출석'!H17</x:f>
        <x:v>8</x:v>
      </x:c>
      <x:c r="F49" s="42"/>
      <x:c r="G49" s="42" t="n">
        <x:f>'02_전체출석'!H31</x:f>
        <x:v>8</x:v>
      </x:c>
      <x:c r="H49" s="42"/>
      <x:c r="I49" s="42" t="n">
        <x:f>'02_전체출석'!H45</x:f>
        <x:v>-3</x:v>
      </x:c>
      <x:c r="J49" s="42"/>
      <x:c r="K49" s="4"/>
      <x:c r="L49" s="4"/>
    </x:row>
    <x:row r="50" ht="15" customHeight="1">
      <x:c r="A50" s="4"/>
      <x:c r="B50" s="42"/>
      <x:c r="C50" s="42"/>
      <x:c r="D50" s="42"/>
      <x:c r="E50" s="42"/>
      <x:c r="F50" s="42"/>
      <x:c r="G50" s="42"/>
      <x:c r="H50" s="42"/>
      <x:c r="I50" s="42"/>
      <x:c r="J50" s="42"/>
      <x:c r="K50" s="4"/>
      <x:c r="L50" s="4"/>
    </x:row>
    <x:row r="51" ht="15" customHeight="1">
      <x:c r="A51" s="4"/>
      <x:c r="B51" s="42" t="str">
        <x:v>최대 인원 증가팀</x:v>
      </x:c>
      <x:c r="C51" s="42"/>
      <x:c r="D51" s="42"/>
      <x:c r="E51" s="42" t="str">
        <x:v>1팀 (+4)</x:v>
      </x:c>
      <x:c r="F51" s="42"/>
      <x:c r="G51" s="42" t="str">
        <x:v>1팀 (+4)</x:v>
      </x:c>
      <x:c r="H51" s="42"/>
      <x:c r="I51" s="42" t="str">
        <x:v>5팀 (+4)</x:v>
      </x:c>
      <x:c r="J51" s="42"/>
      <x:c r="K51" s="4"/>
      <x:c r="L51" s="4"/>
    </x:row>
    <x:row r="52" ht="15" customHeight="1">
      <x:c r="A52" s="4"/>
      <x:c r="B52" s="42"/>
      <x:c r="C52" s="42"/>
      <x:c r="D52" s="42"/>
      <x:c r="E52" s="42"/>
      <x:c r="F52" s="42"/>
      <x:c r="G52" s="42"/>
      <x:c r="H52" s="42"/>
      <x:c r="I52" s="42"/>
      <x:c r="J52" s="42"/>
      <x:c r="K52" s="4"/>
      <x:c r="L52" s="4"/>
    </x:row>
    <x:row r="53" ht="15" customHeight="1">
      <x:c r="A53" s="4"/>
      <x:c r="B53" s="42" t="str">
        <x:v>최대 인원 감소팀</x:v>
      </x:c>
      <x:c r="C53" s="42"/>
      <x:c r="D53" s="42"/>
      <x:c r="E53" s="42" t="str">
        <x:v>2팀 (-9)</x:v>
      </x:c>
      <x:c r="F53" s="42"/>
      <x:c r="G53" s="42" t="str">
        <x:v>6팀 (-9)</x:v>
      </x:c>
      <x:c r="H53" s="42"/>
      <x:c r="I53" s="42" t="str">
        <x:v>3팀 (-9)</x:v>
      </x:c>
      <x:c r="J53" s="42"/>
      <x:c r="K53" s="4"/>
      <x:c r="L53" s="4"/>
    </x:row>
    <x:row r="54" ht="15" customHeight="1">
      <x:c r="A54" s="4"/>
      <x:c r="B54" s="42"/>
      <x:c r="C54" s="42"/>
      <x:c r="D54" s="42"/>
      <x:c r="E54" s="42"/>
      <x:c r="F54" s="42"/>
      <x:c r="G54" s="42"/>
      <x:c r="H54" s="42"/>
      <x:c r="I54" s="42"/>
      <x:c r="J54" s="42"/>
      <x:c r="K54" s="4"/>
      <x:c r="L54" s="4"/>
    </x:row>
    <x:row r="55" ht="1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</x:row>
    <x:row r="56" ht="1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</x:row>
    <x:row r="57" ht="15" customHeight="1">
      <x:c r="A57" s="4"/>
      <x:c r="B57" s="103" t="str">
        <x:v>[예시] 교구 인원 증감 사유
확인된 팀별 사유와 후속 사항을 작성합니다.</x:v>
      </x:c>
      <x:c r="C57" s="104"/>
      <x:c r="D57" s="104"/>
      <x:c r="E57" s="104"/>
      <x:c r="F57" s="104"/>
      <x:c r="G57" s="104"/>
      <x:c r="H57" s="104"/>
      <x:c r="I57" s="104"/>
      <x:c r="J57" s="104"/>
      <x:c r="K57" s="105"/>
      <x:c r="L57" s="4"/>
    </x:row>
    <x:row r="58" ht="15" customHeight="1">
      <x:c r="A58" s="4"/>
      <x:c r="B58" s="106"/>
      <x:c r="C58" s="21"/>
      <x:c r="D58" s="21"/>
      <x:c r="E58" s="21"/>
      <x:c r="F58" s="21"/>
      <x:c r="G58" s="21"/>
      <x:c r="H58" s="21"/>
      <x:c r="I58" s="21"/>
      <x:c r="J58" s="21"/>
      <x:c r="K58" s="107"/>
      <x:c r="L58" s="4"/>
    </x:row>
    <x:row r="59" ht="15" customHeight="1">
      <x:c r="A59" s="4"/>
      <x:c r="B59" s="106"/>
      <x:c r="C59" s="21"/>
      <x:c r="D59" s="21"/>
      <x:c r="E59" s="21"/>
      <x:c r="F59" s="21"/>
      <x:c r="G59" s="21"/>
      <x:c r="H59" s="21"/>
      <x:c r="I59" s="21"/>
      <x:c r="J59" s="21"/>
      <x:c r="K59" s="107"/>
      <x:c r="L59" s="4"/>
    </x:row>
    <x:row r="60" ht="15" customHeight="1">
      <x:c r="A60" s="4"/>
      <x:c r="B60" s="106"/>
      <x:c r="C60" s="21"/>
      <x:c r="D60" s="21"/>
      <x:c r="E60" s="21"/>
      <x:c r="F60" s="21"/>
      <x:c r="G60" s="21"/>
      <x:c r="H60" s="21"/>
      <x:c r="I60" s="21"/>
      <x:c r="J60" s="21"/>
      <x:c r="K60" s="107"/>
      <x:c r="L60" s="4"/>
    </x:row>
    <x:row r="61" ht="15" customHeight="1">
      <x:c r="A61" s="4"/>
      <x:c r="B61" s="106"/>
      <x:c r="C61" s="21"/>
      <x:c r="D61" s="21"/>
      <x:c r="E61" s="21"/>
      <x:c r="F61" s="21"/>
      <x:c r="G61" s="21"/>
      <x:c r="H61" s="21"/>
      <x:c r="I61" s="21"/>
      <x:c r="J61" s="21"/>
      <x:c r="K61" s="107"/>
      <x:c r="L61" s="4"/>
    </x:row>
    <x:row r="62" ht="15" customHeight="1">
      <x:c r="A62" s="4"/>
      <x:c r="B62" s="108"/>
      <x:c r="C62" s="109"/>
      <x:c r="D62" s="109"/>
      <x:c r="E62" s="109"/>
      <x:c r="F62" s="109"/>
      <x:c r="G62" s="109"/>
      <x:c r="H62" s="109"/>
      <x:c r="I62" s="109"/>
      <x:c r="J62" s="109"/>
      <x:c r="K62" s="110"/>
      <x:c r="L62" s="4"/>
    </x:row>
    <x:row r="63" ht="1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</x:row>
    <x:row r="64" ht="1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</x:row>
    <x:row r="65" ht="1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</x:row>
  </x:sheetData>
  <x:mergeCells>
    <x:mergeCell ref="A1:H2"/>
    <x:mergeCell ref="I1:L2"/>
    <x:mergeCell ref="A3:L3"/>
    <x:mergeCell ref="A5:L5"/>
    <x:mergeCell ref="A7:A8"/>
    <x:mergeCell ref="B7:E7"/>
    <x:mergeCell ref="F7:G7"/>
    <x:mergeCell ref="H7:I7"/>
    <x:mergeCell ref="J7:L7"/>
    <x:mergeCell ref="G11:L11"/>
    <x:mergeCell ref="G12:L12"/>
    <x:mergeCell ref="B14:K15"/>
    <x:mergeCell ref="B39:K41"/>
    <x:mergeCell ref="B45:K45"/>
    <x:mergeCell ref="B47:D48"/>
    <x:mergeCell ref="E47:F48"/>
    <x:mergeCell ref="G47:H48"/>
    <x:mergeCell ref="I47:J48"/>
    <x:mergeCell ref="B49:D50"/>
    <x:mergeCell ref="E49:F50"/>
    <x:mergeCell ref="G49:H50"/>
    <x:mergeCell ref="I49:J50"/>
    <x:mergeCell ref="B51:D52"/>
    <x:mergeCell ref="E51:F52"/>
    <x:mergeCell ref="G51:H52"/>
    <x:mergeCell ref="I51:J52"/>
    <x:mergeCell ref="B53:D54"/>
    <x:mergeCell ref="E53:F54"/>
    <x:mergeCell ref="G53:H54"/>
    <x:mergeCell ref="I53:J54"/>
    <x:mergeCell ref="B57:K62"/>
  </x:mergeCells>
  <x:conditionalFormatting sqref="B10:L10">
    <x:cfRule type="cellIs" dxfId="26" priority="1" operator="greaterThan">
      <x:formula>0</x:formula>
    </x:cfRule>
    <x:cfRule type="cellIs" dxfId="27" priority="2" operator="lessThan">
      <x:formula>0</x:formula>
    </x:cfRule>
  </x:conditionalFormatting>
  <x:printOptions horizontalCentered="1"/>
  <x:pageMargins left="0.25" right="0.25" top="0.3" bottom="0.3" header="0.1" footer="0.15"/>
  <x:pageSetup paperSize="9" orientation="portrait" fitToWidth="1" fitToHeight="1"/>
  <x:headerFooter>
    <x:oddFooter>&amp;C1 / 9</x:oddFooter>
  </x:headerFooter>
  <x:drawing xmlns:r="http://schemas.openxmlformats.org/officeDocument/2006/relationships" r:id="R47899ef9ec2a46a2"/>
</x:worksheet>
</file>

<file path=xl/worksheets/sheet2.xml><?xml version="1.0" encoding="utf-8"?>
<x:worksheet xmlns:x="http://schemas.openxmlformats.org/spreadsheetml/2006/main">
  <x:sheetPr>
    <x:tabColor rgb="FF657567"/>
    <x:pageSetUpPr fitToPage="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.889999866485596" hidden="0" customWidth="1"/>
    <x:col min="2" max="2" width="5.329999923706055" hidden="0" customWidth="1"/>
    <x:col min="3" max="3" width="10.4399995803833" hidden="0" customWidth="1"/>
    <x:col min="4" max="4" width="10.329999923706055" hidden="0" customWidth="1"/>
    <x:col min="5" max="5" width="10.329999923706055" hidden="0" customWidth="1"/>
    <x:col min="6" max="6" width="10.329999923706055" hidden="0" customWidth="1"/>
    <x:col min="7" max="7" width="10.329999923706055" hidden="0" customWidth="1"/>
    <x:col min="8" max="8" width="10.670000076293945" hidden="0" customWidth="1"/>
  </x:cols>
  <x:sheetData>
    <x:row r="1" ht="18" customHeight="1">
      <x:c r="A1" s="10" t="n">
        <x:v>46270</x:v>
      </x:c>
      <x:c r="B1" s="11"/>
      <x:c r="C1" s="11"/>
      <x:c r="D1" s="12" t="str">
        <x:v>NEWSONG J 대학부 인원</x:v>
      </x:c>
      <x:c r="E1" s="12"/>
      <x:c r="F1" s="12"/>
      <x:c r="G1" s="12"/>
      <x:c r="H1" s="13"/>
    </x:row>
    <x:row r="2" ht="18" customHeight="1">
      <x:c r="A2" s="14"/>
      <x:c r="B2" s="15"/>
      <x:c r="C2" s="15"/>
      <x:c r="D2" s="16"/>
      <x:c r="E2" s="16"/>
      <x:c r="F2" s="16"/>
      <x:c r="G2" s="16"/>
      <x:c r="H2" s="17"/>
    </x:row>
    <x:row r="3" ht="18" customHeight="1">
      <x:c r="A3" s="19" t="str">
        <x:v>디자인 검토용 · 모든 숫자와 명단은 가상 데이터</x:v>
      </x:c>
      <x:c r="B3" s="19"/>
      <x:c r="C3" s="19"/>
      <x:c r="D3" s="19"/>
      <x:c r="E3" s="19"/>
      <x:c r="F3" s="19"/>
      <x:c r="G3" s="19"/>
      <x:c r="H3" s="19"/>
    </x:row>
    <x:row r="4" ht="18" customHeight="1">
      <x:c r="A4" s="23" t="str">
        <x:v>교구</x:v>
      </x:c>
      <x:c r="B4" s="23" t="str">
        <x:v>팀</x:v>
      </x:c>
      <x:c r="C4" s="23" t="str">
        <x:v>팀장</x:v>
      </x:c>
      <x:c r="D4" s="24" t="n">
        <x:v>46249</x:v>
      </x:c>
      <x:c r="E4" s="24" t="n">
        <x:v>46256</x:v>
      </x:c>
      <x:c r="F4" s="24" t="n">
        <x:v>46263</x:v>
      </x:c>
      <x:c r="G4" s="28" t="n">
        <x:v>46270</x:v>
      </x:c>
      <x:c r="H4" s="23" t="str">
        <x:v>지난주 대비</x:v>
      </x:c>
    </x:row>
    <x:row r="5" ht="18" customHeight="1">
      <x:c r="A5" s="25" t="str">
        <x:v>1교구
담당1
목사님</x:v>
      </x:c>
      <x:c r="B5" s="26" t="n">
        <x:v>1</x:v>
      </x:c>
      <x:c r="C5" s="26" t="str">
        <x:v>팀장101</x:v>
      </x:c>
      <x:c r="D5" s="26" t="n">
        <x:v>10</x:v>
      </x:c>
      <x:c r="E5" s="26" t="n">
        <x:v>12</x:v>
      </x:c>
      <x:c r="F5" s="26" t="n">
        <x:v>14</x:v>
      </x:c>
      <x:c r="G5" s="29" t="n">
        <x:v>18</x:v>
      </x:c>
      <x:c r="H5" s="26" t="n">
        <x:f>G5-F5</x:f>
        <x:v>4</x:v>
      </x:c>
    </x:row>
    <x:row r="6" ht="18" customHeight="1">
      <x:c r="A6" s="25"/>
      <x:c r="B6" s="26" t="n">
        <x:v>2</x:v>
      </x:c>
      <x:c r="C6" s="26" t="str">
        <x:v>팀장102</x:v>
      </x:c>
      <x:c r="D6" s="26" t="n">
        <x:v>15</x:v>
      </x:c>
      <x:c r="E6" s="26" t="n">
        <x:v>17</x:v>
      </x:c>
      <x:c r="F6" s="26" t="n">
        <x:v>19</x:v>
      </x:c>
      <x:c r="G6" s="29" t="n">
        <x:v>10</x:v>
      </x:c>
      <x:c r="H6" s="26" t="n">
        <x:f>G6-F6</x:f>
        <x:v>-9</x:v>
      </x:c>
    </x:row>
    <x:row r="7" ht="18" customHeight="1">
      <x:c r="A7" s="25"/>
      <x:c r="B7" s="26" t="n">
        <x:v>3</x:v>
      </x:c>
      <x:c r="C7" s="26" t="str">
        <x:v>팀장103</x:v>
      </x:c>
      <x:c r="D7" s="26" t="n">
        <x:v>20</x:v>
      </x:c>
      <x:c r="E7" s="26" t="n">
        <x:v>11</x:v>
      </x:c>
      <x:c r="F7" s="26" t="n">
        <x:v>13</x:v>
      </x:c>
      <x:c r="G7" s="29" t="n">
        <x:v>15</x:v>
      </x:c>
      <x:c r="H7" s="26" t="n">
        <x:f>G7-F7</x:f>
        <x:v>2</x:v>
      </x:c>
    </x:row>
    <x:row r="8" ht="18" customHeight="1">
      <x:c r="A8" s="25"/>
      <x:c r="B8" s="26" t="n">
        <x:v>4</x:v>
      </x:c>
      <x:c r="C8" s="26" t="str">
        <x:v>팀장104</x:v>
      </x:c>
      <x:c r="D8" s="26" t="n">
        <x:v>14</x:v>
      </x:c>
      <x:c r="E8" s="26" t="n">
        <x:v>16</x:v>
      </x:c>
      <x:c r="F8" s="26" t="n">
        <x:v>18</x:v>
      </x:c>
      <x:c r="G8" s="29" t="n">
        <x:v>20</x:v>
      </x:c>
      <x:c r="H8" s="26" t="n">
        <x:f>G8-F8</x:f>
        <x:v>2</x:v>
      </x:c>
    </x:row>
    <x:row r="9" ht="18" customHeight="1">
      <x:c r="A9" s="25"/>
      <x:c r="B9" s="26" t="n">
        <x:v>5</x:v>
      </x:c>
      <x:c r="C9" s="26" t="str">
        <x:v>팀장105</x:v>
      </x:c>
      <x:c r="D9" s="26" t="n">
        <x:v>19</x:v>
      </x:c>
      <x:c r="E9" s="26" t="n">
        <x:v>10</x:v>
      </x:c>
      <x:c r="F9" s="26" t="n">
        <x:v>12</x:v>
      </x:c>
      <x:c r="G9" s="29" t="n">
        <x:v>16</x:v>
      </x:c>
      <x:c r="H9" s="26" t="n">
        <x:f>G9-F9</x:f>
        <x:v>4</x:v>
      </x:c>
    </x:row>
    <x:row r="10" ht="18" customHeight="1">
      <x:c r="A10" s="25"/>
      <x:c r="B10" s="26" t="n">
        <x:v>6</x:v>
      </x:c>
      <x:c r="C10" s="26" t="str">
        <x:v>팀장106</x:v>
      </x:c>
      <x:c r="D10" s="26" t="n">
        <x:v>13</x:v>
      </x:c>
      <x:c r="E10" s="26" t="n">
        <x:v>15</x:v>
      </x:c>
      <x:c r="F10" s="26" t="n">
        <x:v>17</x:v>
      </x:c>
      <x:c r="G10" s="29" t="n">
        <x:v>19</x:v>
      </x:c>
      <x:c r="H10" s="26" t="n">
        <x:f>G10-F10</x:f>
        <x:v>2</x:v>
      </x:c>
    </x:row>
    <x:row r="11" ht="18" customHeight="1">
      <x:c r="A11" s="25"/>
      <x:c r="B11" s="26" t="n">
        <x:v>7</x:v>
      </x:c>
      <x:c r="C11" s="26" t="str">
        <x:v>팀장107</x:v>
      </x:c>
      <x:c r="D11" s="26" t="n">
        <x:v>18</x:v>
      </x:c>
      <x:c r="E11" s="26" t="n">
        <x:v>20</x:v>
      </x:c>
      <x:c r="F11" s="26" t="n">
        <x:v>11</x:v>
      </x:c>
      <x:c r="G11" s="29" t="n">
        <x:v>13</x:v>
      </x:c>
      <x:c r="H11" s="26" t="n">
        <x:f>G11-F11</x:f>
        <x:v>2</x:v>
      </x:c>
    </x:row>
    <x:row r="12" ht="18" customHeight="1">
      <x:c r="A12" s="25"/>
      <x:c r="B12" s="26" t="n">
        <x:v>8</x:v>
      </x:c>
      <x:c r="C12" s="26" t="str">
        <x:v>팀장108</x:v>
      </x:c>
      <x:c r="D12" s="26" t="n">
        <x:v>12</x:v>
      </x:c>
      <x:c r="E12" s="26" t="n">
        <x:v>14</x:v>
      </x:c>
      <x:c r="F12" s="26" t="n">
        <x:v>16</x:v>
      </x:c>
      <x:c r="G12" s="29" t="n">
        <x:v>18</x:v>
      </x:c>
      <x:c r="H12" s="26" t="n">
        <x:f>G12-F12</x:f>
        <x:v>2</x:v>
      </x:c>
    </x:row>
    <x:row r="13" ht="18" customHeight="1">
      <x:c r="A13" s="25"/>
      <x:c r="B13" s="26" t="n">
        <x:v>9</x:v>
      </x:c>
      <x:c r="C13" s="26" t="str">
        <x:v>팀장109</x:v>
      </x:c>
      <x:c r="D13" s="26" t="n">
        <x:v>17</x:v>
      </x:c>
      <x:c r="E13" s="26" t="n">
        <x:v>19</x:v>
      </x:c>
      <x:c r="F13" s="26" t="n">
        <x:v>10</x:v>
      </x:c>
      <x:c r="G13" s="29" t="n">
        <x:v>14</x:v>
      </x:c>
      <x:c r="H13" s="26" t="n">
        <x:f>G13-F13</x:f>
        <x:v>4</x:v>
      </x:c>
    </x:row>
    <x:row r="14" ht="18" customHeight="1">
      <x:c r="A14" s="25"/>
      <x:c r="B14" s="26" t="n">
        <x:v>10</x:v>
      </x:c>
      <x:c r="C14" s="26" t="str">
        <x:v>팀장110</x:v>
      </x:c>
      <x:c r="D14" s="26" t="n">
        <x:v>11</x:v>
      </x:c>
      <x:c r="E14" s="26" t="n">
        <x:v>13</x:v>
      </x:c>
      <x:c r="F14" s="26" t="n">
        <x:v>15</x:v>
      </x:c>
      <x:c r="G14" s="29" t="n">
        <x:v>17</x:v>
      </x:c>
      <x:c r="H14" s="26" t="n">
        <x:f>G14-F14</x:f>
        <x:v>2</x:v>
      </x:c>
    </x:row>
    <x:row r="15" ht="18" customHeight="1">
      <x:c r="A15" s="25"/>
      <x:c r="B15" s="26" t="n">
        <x:v>11</x:v>
      </x:c>
      <x:c r="C15" s="26" t="str">
        <x:v>팀장111</x:v>
      </x:c>
      <x:c r="D15" s="26" t="n">
        <x:v>16</x:v>
      </x:c>
      <x:c r="E15" s="26" t="n">
        <x:v>18</x:v>
      </x:c>
      <x:c r="F15" s="26" t="n">
        <x:v>20</x:v>
      </x:c>
      <x:c r="G15" s="29" t="n">
        <x:v>11</x:v>
      </x:c>
      <x:c r="H15" s="26" t="n">
        <x:f>G15-F15</x:f>
        <x:v>-9</x:v>
      </x:c>
    </x:row>
    <x:row r="16" ht="18" customHeight="1">
      <x:c r="A16" s="25"/>
      <x:c r="B16" s="26" t="n">
        <x:v>12</x:v>
      </x:c>
      <x:c r="C16" s="26" t="str">
        <x:v>팀장112</x:v>
      </x:c>
      <x:c r="D16" s="26" t="n">
        <x:v>10</x:v>
      </x:c>
      <x:c r="E16" s="26" t="n">
        <x:v>12</x:v>
      </x:c>
      <x:c r="F16" s="26" t="n">
        <x:v>14</x:v>
      </x:c>
      <x:c r="G16" s="29" t="n">
        <x:v>16</x:v>
      </x:c>
      <x:c r="H16" s="26" t="n">
        <x:f>G16-F16</x:f>
        <x:v>2</x:v>
      </x:c>
    </x:row>
    <x:row r="17" ht="18" customHeight="1">
      <x:c r="A17" s="30" t="str">
        <x:v>1교구 총계</x:v>
      </x:c>
      <x:c r="B17" s="30"/>
      <x:c r="C17" s="30"/>
      <x:c r="D17" s="30" t="n">
        <x:f>SUM(D5:D16)</x:f>
        <x:v>175</x:v>
      </x:c>
      <x:c r="E17" s="30" t="n">
        <x:f>SUM(E5:E16)</x:f>
        <x:v>177</x:v>
      </x:c>
      <x:c r="F17" s="30" t="n">
        <x:f>SUM(F5:F16)</x:f>
        <x:v>179</x:v>
      </x:c>
      <x:c r="G17" s="31" t="n">
        <x:f>SUM(G5:G16)</x:f>
        <x:v>187</x:v>
      </x:c>
      <x:c r="H17" s="30" t="n">
        <x:f>SUM(H5:H16)</x:f>
        <x:v>8</x:v>
      </x:c>
    </x:row>
    <x:row r="18" ht="18" customHeight="1">
      <x:c r="A18" s="23" t="str">
        <x:v>교구</x:v>
      </x:c>
      <x:c r="B18" s="23" t="str">
        <x:v>팀</x:v>
      </x:c>
      <x:c r="C18" s="23" t="str">
        <x:v>팀장</x:v>
      </x:c>
      <x:c r="D18" s="24" t="n">
        <x:v>46249</x:v>
      </x:c>
      <x:c r="E18" s="24" t="n">
        <x:v>46256</x:v>
      </x:c>
      <x:c r="F18" s="24" t="n">
        <x:v>46263</x:v>
      </x:c>
      <x:c r="G18" s="28" t="n">
        <x:v>46270</x:v>
      </x:c>
      <x:c r="H18" s="23" t="str">
        <x:v>지난주 대비</x:v>
      </x:c>
    </x:row>
    <x:row r="19" ht="18" customHeight="1">
      <x:c r="A19" s="25" t="str">
        <x:v>2교구
담당2
목사님</x:v>
      </x:c>
      <x:c r="B19" s="26" t="n">
        <x:v>1</x:v>
      </x:c>
      <x:c r="C19" s="26" t="str">
        <x:v>팀장201</x:v>
      </x:c>
      <x:c r="D19" s="26" t="n">
        <x:v>13</x:v>
      </x:c>
      <x:c r="E19" s="26" t="n">
        <x:v>15</x:v>
      </x:c>
      <x:c r="F19" s="26" t="n">
        <x:v>17</x:v>
      </x:c>
      <x:c r="G19" s="29" t="n">
        <x:v>21</x:v>
      </x:c>
      <x:c r="H19" s="26" t="n">
        <x:f>G19-F19</x:f>
        <x:v>4</x:v>
      </x:c>
    </x:row>
    <x:row r="20" ht="18" customHeight="1">
      <x:c r="A20" s="25"/>
      <x:c r="B20" s="26" t="n">
        <x:v>2</x:v>
      </x:c>
      <x:c r="C20" s="26" t="str">
        <x:v>팀장202</x:v>
      </x:c>
      <x:c r="D20" s="26" t="n">
        <x:v>18</x:v>
      </x:c>
      <x:c r="E20" s="26" t="n">
        <x:v>20</x:v>
      </x:c>
      <x:c r="F20" s="26" t="n">
        <x:v>11</x:v>
      </x:c>
      <x:c r="G20" s="29" t="n">
        <x:v>13</x:v>
      </x:c>
      <x:c r="H20" s="26" t="n">
        <x:f>G20-F20</x:f>
        <x:v>2</x:v>
      </x:c>
    </x:row>
    <x:row r="21" ht="18" customHeight="1">
      <x:c r="A21" s="25"/>
      <x:c r="B21" s="26" t="n">
        <x:v>3</x:v>
      </x:c>
      <x:c r="C21" s="26" t="str">
        <x:v>팀장203</x:v>
      </x:c>
      <x:c r="D21" s="26" t="n">
        <x:v>12</x:v>
      </x:c>
      <x:c r="E21" s="26" t="n">
        <x:v>14</x:v>
      </x:c>
      <x:c r="F21" s="26" t="n">
        <x:v>16</x:v>
      </x:c>
      <x:c r="G21" s="29" t="n">
        <x:v>18</x:v>
      </x:c>
      <x:c r="H21" s="26" t="n">
        <x:f>G21-F21</x:f>
        <x:v>2</x:v>
      </x:c>
    </x:row>
    <x:row r="22" ht="18" customHeight="1">
      <x:c r="A22" s="25"/>
      <x:c r="B22" s="26" t="n">
        <x:v>4</x:v>
      </x:c>
      <x:c r="C22" s="26" t="str">
        <x:v>팀장204</x:v>
      </x:c>
      <x:c r="D22" s="26" t="n">
        <x:v>17</x:v>
      </x:c>
      <x:c r="E22" s="26" t="n">
        <x:v>19</x:v>
      </x:c>
      <x:c r="F22" s="26" t="n">
        <x:v>10</x:v>
      </x:c>
      <x:c r="G22" s="29" t="n">
        <x:v>12</x:v>
      </x:c>
      <x:c r="H22" s="26" t="n">
        <x:f>G22-F22</x:f>
        <x:v>2</x:v>
      </x:c>
    </x:row>
    <x:row r="23" ht="18" customHeight="1">
      <x:c r="A23" s="25"/>
      <x:c r="B23" s="26" t="n">
        <x:v>5</x:v>
      </x:c>
      <x:c r="C23" s="26" t="str">
        <x:v>팀장205</x:v>
      </x:c>
      <x:c r="D23" s="26" t="n">
        <x:v>11</x:v>
      </x:c>
      <x:c r="E23" s="26" t="n">
        <x:v>13</x:v>
      </x:c>
      <x:c r="F23" s="26" t="n">
        <x:v>15</x:v>
      </x:c>
      <x:c r="G23" s="29" t="n">
        <x:v>19</x:v>
      </x:c>
      <x:c r="H23" s="26" t="n">
        <x:f>G23-F23</x:f>
        <x:v>4</x:v>
      </x:c>
    </x:row>
    <x:row r="24" ht="18" customHeight="1">
      <x:c r="A24" s="25"/>
      <x:c r="B24" s="26" t="n">
        <x:v>6</x:v>
      </x:c>
      <x:c r="C24" s="26" t="str">
        <x:v>팀장206</x:v>
      </x:c>
      <x:c r="D24" s="26" t="n">
        <x:v>16</x:v>
      </x:c>
      <x:c r="E24" s="26" t="n">
        <x:v>18</x:v>
      </x:c>
      <x:c r="F24" s="26" t="n">
        <x:v>20</x:v>
      </x:c>
      <x:c r="G24" s="29" t="n">
        <x:v>11</x:v>
      </x:c>
      <x:c r="H24" s="26" t="n">
        <x:f>G24-F24</x:f>
        <x:v>-9</x:v>
      </x:c>
    </x:row>
    <x:row r="25" ht="18" customHeight="1">
      <x:c r="A25" s="25"/>
      <x:c r="B25" s="26" t="n">
        <x:v>7</x:v>
      </x:c>
      <x:c r="C25" s="26" t="str">
        <x:v>팀장207</x:v>
      </x:c>
      <x:c r="D25" s="26" t="n">
        <x:v>10</x:v>
      </x:c>
      <x:c r="E25" s="26" t="n">
        <x:v>12</x:v>
      </x:c>
      <x:c r="F25" s="26" t="n">
        <x:v>14</x:v>
      </x:c>
      <x:c r="G25" s="29" t="n">
        <x:v>16</x:v>
      </x:c>
      <x:c r="H25" s="26" t="n">
        <x:f>G25-F25</x:f>
        <x:v>2</x:v>
      </x:c>
    </x:row>
    <x:row r="26" ht="18" customHeight="1">
      <x:c r="A26" s="25"/>
      <x:c r="B26" s="26" t="n">
        <x:v>8</x:v>
      </x:c>
      <x:c r="C26" s="26" t="str">
        <x:v>팀장208</x:v>
      </x:c>
      <x:c r="D26" s="26" t="n">
        <x:v>15</x:v>
      </x:c>
      <x:c r="E26" s="26" t="n">
        <x:v>17</x:v>
      </x:c>
      <x:c r="F26" s="26" t="n">
        <x:v>19</x:v>
      </x:c>
      <x:c r="G26" s="29" t="n">
        <x:v>10</x:v>
      </x:c>
      <x:c r="H26" s="26" t="n">
        <x:f>G26-F26</x:f>
        <x:v>-9</x:v>
      </x:c>
    </x:row>
    <x:row r="27" ht="18" customHeight="1">
      <x:c r="A27" s="25"/>
      <x:c r="B27" s="26" t="n">
        <x:v>9</x:v>
      </x:c>
      <x:c r="C27" s="26" t="str">
        <x:v>팀장209</x:v>
      </x:c>
      <x:c r="D27" s="26" t="n">
        <x:v>20</x:v>
      </x:c>
      <x:c r="E27" s="26" t="n">
        <x:v>11</x:v>
      </x:c>
      <x:c r="F27" s="26" t="n">
        <x:v>13</x:v>
      </x:c>
      <x:c r="G27" s="29" t="n">
        <x:v>17</x:v>
      </x:c>
      <x:c r="H27" s="26" t="n">
        <x:f>G27-F27</x:f>
        <x:v>4</x:v>
      </x:c>
    </x:row>
    <x:row r="28" ht="18" customHeight="1">
      <x:c r="A28" s="25"/>
      <x:c r="B28" s="26" t="n">
        <x:v>10</x:v>
      </x:c>
      <x:c r="C28" s="26" t="str">
        <x:v>팀장210</x:v>
      </x:c>
      <x:c r="D28" s="26" t="n">
        <x:v>14</x:v>
      </x:c>
      <x:c r="E28" s="26" t="n">
        <x:v>16</x:v>
      </x:c>
      <x:c r="F28" s="26" t="n">
        <x:v>18</x:v>
      </x:c>
      <x:c r="G28" s="29" t="n">
        <x:v>20</x:v>
      </x:c>
      <x:c r="H28" s="26" t="n">
        <x:f>G28-F28</x:f>
        <x:v>2</x:v>
      </x:c>
    </x:row>
    <x:row r="29" ht="18" customHeight="1">
      <x:c r="A29" s="25"/>
      <x:c r="B29" s="26" t="n">
        <x:v>11</x:v>
      </x:c>
      <x:c r="C29" s="26" t="str">
        <x:v>팀장211</x:v>
      </x:c>
      <x:c r="D29" s="26" t="n">
        <x:v>19</x:v>
      </x:c>
      <x:c r="E29" s="26" t="n">
        <x:v>10</x:v>
      </x:c>
      <x:c r="F29" s="26" t="n">
        <x:v>12</x:v>
      </x:c>
      <x:c r="G29" s="29" t="n">
        <x:v>14</x:v>
      </x:c>
      <x:c r="H29" s="26" t="n">
        <x:f>G29-F29</x:f>
        <x:v>2</x:v>
      </x:c>
    </x:row>
    <x:row r="30" ht="18" customHeight="1">
      <x:c r="A30" s="25"/>
      <x:c r="B30" s="26" t="n">
        <x:v>12</x:v>
      </x:c>
      <x:c r="C30" s="26" t="str">
        <x:v>팀장212</x:v>
      </x:c>
      <x:c r="D30" s="26" t="n">
        <x:v>13</x:v>
      </x:c>
      <x:c r="E30" s="26" t="n">
        <x:v>15</x:v>
      </x:c>
      <x:c r="F30" s="26" t="n">
        <x:v>17</x:v>
      </x:c>
      <x:c r="G30" s="29" t="n">
        <x:v>19</x:v>
      </x:c>
      <x:c r="H30" s="26" t="n">
        <x:f>G30-F30</x:f>
        <x:v>2</x:v>
      </x:c>
    </x:row>
    <x:row r="31" ht="18" customHeight="1">
      <x:c r="A31" s="30" t="str">
        <x:v>2교구 총계</x:v>
      </x:c>
      <x:c r="B31" s="30"/>
      <x:c r="C31" s="30"/>
      <x:c r="D31" s="30" t="n">
        <x:f>SUM(D19:D30)</x:f>
        <x:v>178</x:v>
      </x:c>
      <x:c r="E31" s="30" t="n">
        <x:f>SUM(E19:E30)</x:f>
        <x:v>180</x:v>
      </x:c>
      <x:c r="F31" s="30" t="n">
        <x:f>SUM(F19:F30)</x:f>
        <x:v>182</x:v>
      </x:c>
      <x:c r="G31" s="31" t="n">
        <x:f>SUM(G19:G30)</x:f>
        <x:v>190</x:v>
      </x:c>
      <x:c r="H31" s="30" t="n">
        <x:f>SUM(H19:H30)</x:f>
        <x:v>8</x:v>
      </x:c>
    </x:row>
    <x:row r="32" ht="18" customHeight="1">
      <x:c r="A32" s="23" t="str">
        <x:v>교구</x:v>
      </x:c>
      <x:c r="B32" s="23" t="str">
        <x:v>팀</x:v>
      </x:c>
      <x:c r="C32" s="23" t="str">
        <x:v>팀장</x:v>
      </x:c>
      <x:c r="D32" s="24" t="n">
        <x:v>46249</x:v>
      </x:c>
      <x:c r="E32" s="24" t="n">
        <x:v>46256</x:v>
      </x:c>
      <x:c r="F32" s="24" t="n">
        <x:v>46263</x:v>
      </x:c>
      <x:c r="G32" s="28" t="n">
        <x:v>46270</x:v>
      </x:c>
      <x:c r="H32" s="23" t="str">
        <x:v>지난주 대비</x:v>
      </x:c>
    </x:row>
    <x:row r="33" ht="18" customHeight="1">
      <x:c r="A33" s="25" t="str">
        <x:v>3교구
담당3
목사님</x:v>
      </x:c>
      <x:c r="B33" s="26" t="n">
        <x:v>1</x:v>
      </x:c>
      <x:c r="C33" s="26" t="str">
        <x:v>팀장301</x:v>
      </x:c>
      <x:c r="D33" s="26" t="n">
        <x:v>16</x:v>
      </x:c>
      <x:c r="E33" s="26" t="n">
        <x:v>18</x:v>
      </x:c>
      <x:c r="F33" s="26" t="n">
        <x:v>20</x:v>
      </x:c>
      <x:c r="G33" s="29" t="n">
        <x:v>13</x:v>
      </x:c>
      <x:c r="H33" s="26" t="n">
        <x:f>G33-F33</x:f>
        <x:v>-7</x:v>
      </x:c>
    </x:row>
    <x:row r="34" ht="18" customHeight="1">
      <x:c r="A34" s="25"/>
      <x:c r="B34" s="26" t="n">
        <x:v>2</x:v>
      </x:c>
      <x:c r="C34" s="26" t="str">
        <x:v>팀장302</x:v>
      </x:c>
      <x:c r="D34" s="26" t="n">
        <x:v>10</x:v>
      </x:c>
      <x:c r="E34" s="26" t="n">
        <x:v>12</x:v>
      </x:c>
      <x:c r="F34" s="26" t="n">
        <x:v>14</x:v>
      </x:c>
      <x:c r="G34" s="29" t="n">
        <x:v>16</x:v>
      </x:c>
      <x:c r="H34" s="26" t="n">
        <x:f>G34-F34</x:f>
        <x:v>2</x:v>
      </x:c>
    </x:row>
    <x:row r="35" ht="18" customHeight="1">
      <x:c r="A35" s="25"/>
      <x:c r="B35" s="26" t="n">
        <x:v>3</x:v>
      </x:c>
      <x:c r="C35" s="26" t="str">
        <x:v>팀장303</x:v>
      </x:c>
      <x:c r="D35" s="26" t="n">
        <x:v>15</x:v>
      </x:c>
      <x:c r="E35" s="26" t="n">
        <x:v>17</x:v>
      </x:c>
      <x:c r="F35" s="26" t="n">
        <x:v>19</x:v>
      </x:c>
      <x:c r="G35" s="29" t="n">
        <x:v>10</x:v>
      </x:c>
      <x:c r="H35" s="26" t="n">
        <x:f>G35-F35</x:f>
        <x:v>-9</x:v>
      </x:c>
    </x:row>
    <x:row r="36" ht="18" customHeight="1">
      <x:c r="A36" s="25"/>
      <x:c r="B36" s="26" t="n">
        <x:v>4</x:v>
      </x:c>
      <x:c r="C36" s="26" t="str">
        <x:v>팀장304</x:v>
      </x:c>
      <x:c r="D36" s="26" t="n">
        <x:v>20</x:v>
      </x:c>
      <x:c r="E36" s="26" t="n">
        <x:v>11</x:v>
      </x:c>
      <x:c r="F36" s="26" t="n">
        <x:v>13</x:v>
      </x:c>
      <x:c r="G36" s="29" t="n">
        <x:v>15</x:v>
      </x:c>
      <x:c r="H36" s="26" t="n">
        <x:f>G36-F36</x:f>
        <x:v>2</x:v>
      </x:c>
    </x:row>
    <x:row r="37" ht="18" customHeight="1">
      <x:c r="A37" s="25"/>
      <x:c r="B37" s="26" t="n">
        <x:v>5</x:v>
      </x:c>
      <x:c r="C37" s="26" t="str">
        <x:v>팀장305</x:v>
      </x:c>
      <x:c r="D37" s="26" t="n">
        <x:v>14</x:v>
      </x:c>
      <x:c r="E37" s="26" t="n">
        <x:v>16</x:v>
      </x:c>
      <x:c r="F37" s="26" t="n">
        <x:v>18</x:v>
      </x:c>
      <x:c r="G37" s="29" t="n">
        <x:v>22</x:v>
      </x:c>
      <x:c r="H37" s="26" t="n">
        <x:f>G37-F37</x:f>
        <x:v>4</x:v>
      </x:c>
    </x:row>
    <x:row r="38" ht="18" customHeight="1">
      <x:c r="A38" s="25"/>
      <x:c r="B38" s="26" t="n">
        <x:v>6</x:v>
      </x:c>
      <x:c r="C38" s="26" t="str">
        <x:v>팀장306</x:v>
      </x:c>
      <x:c r="D38" s="26" t="n">
        <x:v>19</x:v>
      </x:c>
      <x:c r="E38" s="26" t="n">
        <x:v>10</x:v>
      </x:c>
      <x:c r="F38" s="26" t="n">
        <x:v>12</x:v>
      </x:c>
      <x:c r="G38" s="29" t="n">
        <x:v>14</x:v>
      </x:c>
      <x:c r="H38" s="26" t="n">
        <x:f>G38-F38</x:f>
        <x:v>2</x:v>
      </x:c>
    </x:row>
    <x:row r="39" ht="18" customHeight="1">
      <x:c r="A39" s="25"/>
      <x:c r="B39" s="26" t="n">
        <x:v>7</x:v>
      </x:c>
      <x:c r="C39" s="26" t="str">
        <x:v>팀장307</x:v>
      </x:c>
      <x:c r="D39" s="26" t="n">
        <x:v>13</x:v>
      </x:c>
      <x:c r="E39" s="26" t="n">
        <x:v>15</x:v>
      </x:c>
      <x:c r="F39" s="26" t="n">
        <x:v>17</x:v>
      </x:c>
      <x:c r="G39" s="29" t="n">
        <x:v>19</x:v>
      </x:c>
      <x:c r="H39" s="26" t="n">
        <x:f>G39-F39</x:f>
        <x:v>2</x:v>
      </x:c>
    </x:row>
    <x:row r="40" ht="18" customHeight="1">
      <x:c r="A40" s="25"/>
      <x:c r="B40" s="26" t="n">
        <x:v>8</x:v>
      </x:c>
      <x:c r="C40" s="26" t="str">
        <x:v>팀장308</x:v>
      </x:c>
      <x:c r="D40" s="26" t="n">
        <x:v>18</x:v>
      </x:c>
      <x:c r="E40" s="26" t="n">
        <x:v>20</x:v>
      </x:c>
      <x:c r="F40" s="26" t="n">
        <x:v>11</x:v>
      </x:c>
      <x:c r="G40" s="29" t="n">
        <x:v>13</x:v>
      </x:c>
      <x:c r="H40" s="26" t="n">
        <x:f>G40-F40</x:f>
        <x:v>2</x:v>
      </x:c>
    </x:row>
    <x:row r="41" ht="18" customHeight="1">
      <x:c r="A41" s="25"/>
      <x:c r="B41" s="26" t="n">
        <x:v>9</x:v>
      </x:c>
      <x:c r="C41" s="26" t="str">
        <x:v>팀장309</x:v>
      </x:c>
      <x:c r="D41" s="26" t="n">
        <x:v>12</x:v>
      </x:c>
      <x:c r="E41" s="26" t="n">
        <x:v>14</x:v>
      </x:c>
      <x:c r="F41" s="26" t="n">
        <x:v>16</x:v>
      </x:c>
      <x:c r="G41" s="29" t="n">
        <x:v>20</x:v>
      </x:c>
      <x:c r="H41" s="26" t="n">
        <x:f>G41-F41</x:f>
        <x:v>4</x:v>
      </x:c>
    </x:row>
    <x:row r="42" ht="18" customHeight="1">
      <x:c r="A42" s="25"/>
      <x:c r="B42" s="26" t="n">
        <x:v>10</x:v>
      </x:c>
      <x:c r="C42" s="26" t="str">
        <x:v>팀장310</x:v>
      </x:c>
      <x:c r="D42" s="26" t="n">
        <x:v>17</x:v>
      </x:c>
      <x:c r="E42" s="26" t="n">
        <x:v>19</x:v>
      </x:c>
      <x:c r="F42" s="26" t="n">
        <x:v>10</x:v>
      </x:c>
      <x:c r="G42" s="29" t="n">
        <x:v>12</x:v>
      </x:c>
      <x:c r="H42" s="26" t="n">
        <x:f>G42-F42</x:f>
        <x:v>2</x:v>
      </x:c>
    </x:row>
    <x:row r="43" ht="18" customHeight="1">
      <x:c r="A43" s="25"/>
      <x:c r="B43" s="26" t="n">
        <x:v>11</x:v>
      </x:c>
      <x:c r="C43" s="26" t="str">
        <x:v>팀장311</x:v>
      </x:c>
      <x:c r="D43" s="26" t="n">
        <x:v>11</x:v>
      </x:c>
      <x:c r="E43" s="26" t="n">
        <x:v>13</x:v>
      </x:c>
      <x:c r="F43" s="26" t="n">
        <x:v>15</x:v>
      </x:c>
      <x:c r="G43" s="29" t="n">
        <x:v>17</x:v>
      </x:c>
      <x:c r="H43" s="26" t="n">
        <x:f>G43-F43</x:f>
        <x:v>2</x:v>
      </x:c>
    </x:row>
    <x:row r="44" ht="18" customHeight="1">
      <x:c r="A44" s="25"/>
      <x:c r="B44" s="26" t="n">
        <x:v>12</x:v>
      </x:c>
      <x:c r="C44" s="26" t="str">
        <x:v>팀장312</x:v>
      </x:c>
      <x:c r="D44" s="26" t="n">
        <x:v>16</x:v>
      </x:c>
      <x:c r="E44" s="26" t="n">
        <x:v>18</x:v>
      </x:c>
      <x:c r="F44" s="26" t="n">
        <x:v>20</x:v>
      </x:c>
      <x:c r="G44" s="29" t="n">
        <x:v>11</x:v>
      </x:c>
      <x:c r="H44" s="26" t="n">
        <x:f>G44-F44</x:f>
        <x:v>-9</x:v>
      </x:c>
    </x:row>
    <x:row r="45" ht="18" customHeight="1">
      <x:c r="A45" s="30" t="str">
        <x:v>3교구 총계</x:v>
      </x:c>
      <x:c r="B45" s="30"/>
      <x:c r="C45" s="30"/>
      <x:c r="D45" s="30" t="n">
        <x:f>SUM(D33:D44)</x:f>
        <x:v>181</x:v>
      </x:c>
      <x:c r="E45" s="30" t="n">
        <x:f>SUM(E33:E44)</x:f>
        <x:v>183</x:v>
      </x:c>
      <x:c r="F45" s="30" t="n">
        <x:f>SUM(F33:F44)</x:f>
        <x:v>185</x:v>
      </x:c>
      <x:c r="G45" s="31" t="n">
        <x:f>SUM(G33:G44)</x:f>
        <x:v>182</x:v>
      </x:c>
      <x:c r="H45" s="30" t="n">
        <x:f>SUM(H33:H44)</x:f>
        <x:v>-3</x:v>
      </x:c>
    </x:row>
    <x:row r="46" ht="18" customHeight="1">
      <x:c r="A46" s="37" t="str">
        <x:v>현장 총계</x:v>
      </x:c>
      <x:c r="B46" s="37"/>
      <x:c r="C46" s="37"/>
      <x:c r="D46" s="26" t="n">
        <x:f>D17+D31+D45</x:f>
        <x:v>534</x:v>
      </x:c>
      <x:c r="E46" s="26" t="n">
        <x:f>E17+E31+E45</x:f>
        <x:v>540</x:v>
      </x:c>
      <x:c r="F46" s="26" t="n">
        <x:f>F17+F31+F45</x:f>
        <x:v>546</x:v>
      </x:c>
      <x:c r="G46" s="29" t="n">
        <x:f>G17+G31+G45</x:f>
        <x:v>559</x:v>
      </x:c>
      <x:c r="H46" s="38" t="str">
        <x:v>대학부 전체
지난주 대비</x:v>
      </x:c>
    </x:row>
    <x:row r="47" ht="18" customHeight="1">
      <x:c r="A47" s="39" t="str">
        <x:v>임원단</x:v>
      </x:c>
      <x:c r="B47" s="39"/>
      <x:c r="C47" s="39"/>
      <x:c r="D47" s="26" t="n">
        <x:v>36</x:v>
      </x:c>
      <x:c r="E47" s="26" t="n">
        <x:v>37</x:v>
      </x:c>
      <x:c r="F47" s="26" t="n">
        <x:v>37</x:v>
      </x:c>
      <x:c r="G47" s="29" t="n">
        <x:v>38</x:v>
      </x:c>
      <x:c r="H47" s="38"/>
    </x:row>
    <x:row r="48" ht="18" customHeight="1">
      <x:c r="A48" s="37" t="str">
        <x:v>대학부원 총 인원</x:v>
      </x:c>
      <x:c r="B48" s="37"/>
      <x:c r="C48" s="37"/>
      <x:c r="D48" s="26" t="n">
        <x:f>SUM(D46:D47)</x:f>
        <x:v>570</x:v>
      </x:c>
      <x:c r="E48" s="26" t="n">
        <x:f>SUM(E46:E47)</x:f>
        <x:v>577</x:v>
      </x:c>
      <x:c r="F48" s="26" t="n">
        <x:f>SUM(F46:F47)</x:f>
        <x:v>583</x:v>
      </x:c>
      <x:c r="G48" s="29" t="n">
        <x:f>SUM(G46:G47)</x:f>
        <x:v>597</x:v>
      </x:c>
      <x:c r="H48" s="38"/>
    </x:row>
    <x:row r="49" ht="33" customHeight="1">
      <x:c r="A49" s="39" t="str">
        <x:v>교역자·실행위원·직원·게스트
+ 인원 보정</x:v>
      </x:c>
      <x:c r="B49" s="39"/>
      <x:c r="C49" s="39"/>
      <x:c r="D49" s="26" t="n">
        <x:v>24</x:v>
      </x:c>
      <x:c r="E49" s="26" t="n">
        <x:v>26</x:v>
      </x:c>
      <x:c r="F49" s="26" t="n">
        <x:v>25</x:v>
      </x:c>
      <x:c r="G49" s="29" t="n">
        <x:v>26</x:v>
      </x:c>
      <x:c r="H49" s="38"/>
    </x:row>
    <x:row r="50" ht="18" customHeight="1">
      <x:c r="A50" s="37" t="str">
        <x:v>대학부 총 인원</x:v>
      </x:c>
      <x:c r="B50" s="37"/>
      <x:c r="C50" s="37"/>
      <x:c r="D50" s="26" t="n">
        <x:f>SUM(D48:D49)</x:f>
        <x:v>594</x:v>
      </x:c>
      <x:c r="E50" s="26" t="n">
        <x:f>SUM(E48:E49)</x:f>
        <x:v>603</x:v>
      </x:c>
      <x:c r="F50" s="26" t="n">
        <x:f>SUM(F48:F49)</x:f>
        <x:v>608</x:v>
      </x:c>
      <x:c r="G50" s="31" t="n">
        <x:f>SUM(G48:G49)</x:f>
        <x:v>623</x:v>
      </x:c>
      <x:c r="H50" s="26" t="n">
        <x:f>G50-F50</x:f>
        <x:v>15</x:v>
      </x:c>
    </x:row>
    <x:row r="51" ht="18" customHeight="1">
      <x:c r="A51" s="39" t="str">
        <x:v>뉴송예배 실제수 인원</x:v>
      </x:c>
      <x:c r="B51" s="39"/>
      <x:c r="C51" s="39"/>
      <x:c r="D51" s="26" t="n">
        <x:v>770</x:v>
      </x:c>
      <x:c r="E51" s="26" t="n">
        <x:v>802</x:v>
      </x:c>
      <x:c r="F51" s="26" t="n">
        <x:v>795</x:v>
      </x:c>
      <x:c r="G51" s="29" t="n">
        <x:v>816</x:v>
      </x:c>
      <x:c r="H51" s="26" t="str">
        <x:v>—</x:v>
      </x:c>
    </x:row>
    <x:row r="52" ht="18" customHeight="1">
      <x:c r="A52" s="4"/>
      <x:c r="B52" s="4"/>
      <x:c r="C52" s="4"/>
      <x:c r="D52" s="4"/>
      <x:c r="E52" s="4"/>
      <x:c r="F52" s="4"/>
      <x:c r="G52" s="4"/>
      <x:c r="H52" s="4"/>
    </x:row>
    <x:row r="53" ht="18" customHeight="1">
      <x:c r="A53" s="4"/>
      <x:c r="B53" s="4"/>
      <x:c r="C53" s="4"/>
      <x:c r="D53" s="4"/>
      <x:c r="E53" s="4"/>
      <x:c r="F53" s="4"/>
      <x:c r="G53" s="4"/>
      <x:c r="H53" s="4"/>
    </x:row>
  </x:sheetData>
  <x:mergeCells>
    <x:mergeCell ref="A1:C2"/>
    <x:mergeCell ref="D1:H2"/>
    <x:mergeCell ref="A3:H3"/>
    <x:mergeCell ref="A5:A16"/>
    <x:mergeCell ref="A17:C17"/>
    <x:mergeCell ref="A19:A30"/>
    <x:mergeCell ref="A31:C31"/>
    <x:mergeCell ref="A33:A44"/>
    <x:mergeCell ref="A45:C45"/>
    <x:mergeCell ref="A46:C46"/>
    <x:mergeCell ref="A47:C47"/>
    <x:mergeCell ref="A48:C48"/>
    <x:mergeCell ref="A49:C49"/>
    <x:mergeCell ref="A50:C50"/>
    <x:mergeCell ref="A51:C51"/>
    <x:mergeCell ref="H46:H49"/>
  </x:mergeCells>
  <x:conditionalFormatting sqref="H5:H17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H19:H31">
    <x:cfRule type="cellIs" dxfId="2" priority="3" operator="greaterThan">
      <x:formula>0</x:formula>
    </x:cfRule>
    <x:cfRule type="cellIs" dxfId="3" priority="4" operator="lessThan">
      <x:formula>0</x:formula>
    </x:cfRule>
  </x:conditionalFormatting>
  <x:conditionalFormatting sqref="H33:H45">
    <x:cfRule type="cellIs" dxfId="4" priority="5" operator="greaterThan">
      <x:formula>0</x:formula>
    </x:cfRule>
    <x:cfRule type="cellIs" dxfId="5" priority="6" operator="lessThan">
      <x:formula>0</x:formula>
    </x:cfRule>
  </x:conditionalFormatting>
  <x:conditionalFormatting sqref="H50:H50">
    <x:cfRule type="cellIs" dxfId="6" priority="7" operator="greaterThan">
      <x:formula>0</x:formula>
    </x:cfRule>
    <x:cfRule type="cellIs" dxfId="7" priority="8" operator="lessThan">
      <x:formula>0</x:formula>
    </x:cfRule>
  </x:conditionalFormatting>
  <x:printOptions horizontalCentered="1"/>
  <x:pageMargins left="0.25" right="0.25" top="0.3" bottom="0.3" header="0.1" footer="0.15"/>
  <x:pageSetup paperSize="9" orientation="portrait" fitToWidth="1" fitToHeight="1"/>
  <x:headerFooter>
    <x:oddFooter>&amp;C2 / 9</x:oddFooter>
  </x:headerFooter>
</x:worksheet>
</file>

<file path=xl/worksheets/sheet3.xml><?xml version="1.0" encoding="utf-8"?>
<x:worksheet xmlns:x="http://schemas.openxmlformats.org/spreadsheetml/2006/main">
  <x:sheetPr>
    <x:tabColor rgb="FF657567"/>
    <x:pageSetUpPr fitToPage="1"/>
  </x:sheetPr>
  <x:sheetViews>
    <x:sheetView showGridLines="0" workbookViewId="0"/>
  </x:sheetViews>
  <x:sheetFormatPr defaultRowHeight="15"/>
  <x:cols>
    <x:col min="1" max="1" width="5.440000057220459" hidden="0" customWidth="1"/>
    <x:col min="2" max="2" width="5.440000057220459" hidden="0" customWidth="1"/>
    <x:col min="3" max="3" width="5.440000057220459" hidden="0" customWidth="1"/>
    <x:col min="4" max="4" width="5.440000057220459" hidden="0" customWidth="1"/>
    <x:col min="5" max="5" width="5.440000057220459" hidden="0" customWidth="1"/>
    <x:col min="6" max="6" width="5.440000057220459" hidden="0" customWidth="1"/>
    <x:col min="7" max="7" width="5.440000057220459" hidden="0" customWidth="1"/>
    <x:col min="8" max="8" width="5.440000057220459" hidden="0" customWidth="1"/>
    <x:col min="9" max="9" width="5.440000057220459" hidden="0" customWidth="1"/>
    <x:col min="10" max="10" width="5.440000057220459" hidden="0" customWidth="1"/>
    <x:col min="11" max="11" width="5.440000057220459" hidden="0" customWidth="1"/>
    <x:col min="12" max="12" width="5.440000057220459" hidden="0" customWidth="1"/>
    <x:col min="13" max="13" width="5.440000057220459" hidden="0" customWidth="1"/>
    <x:col min="14" max="14" width="5.440000057220459" hidden="0" customWidth="1"/>
    <x:col min="15" max="15" width="5.440000057220459" hidden="0" customWidth="1"/>
    <x:col min="16" max="16" width="5.440000057220459" hidden="0" customWidth="1"/>
    <x:col min="17" max="17" width="5.440000057220459" hidden="0" customWidth="1"/>
    <x:col min="18" max="18" width="5.440000057220459" hidden="0" customWidth="1"/>
  </x:cols>
  <x:sheetData>
    <x:row r="1" ht="15.75" customHeight="1">
      <x:c r="A1" s="67" t="str">
        <x:v>〈 2교구 〉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</x:row>
    <x:row r="2" ht="15.75" customHeight="1">
      <x:c r="A2" s="67"/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U2" t="str">
        <x:v>날짜</x:v>
      </x:c>
      <x:c r="V2" t="str">
        <x:v>팀 인원</x:v>
      </x:c>
      <x:c r="W2" t="str">
        <x:v>교구 평균</x:v>
      </x:c>
    </x:row>
    <x:row r="3" ht="15.75" customHeight="1">
      <x:c r="A3" s="18" t="str">
        <x:v>2026.09.05 · 디자인 검토용 가상 데이터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U3" t="str">
        <x:v>8/15</x:v>
      </x:c>
      <x:c r="V3" t="n">
        <x:f>'02_전체출석'!D19</x:f>
        <x:v>13</x:v>
      </x:c>
      <x:c r="W3" t="n">
        <x:f>'02_전체출석'!D31/12</x:f>
        <x:v>14.833333333333334</x:v>
      </x:c>
    </x:row>
    <x:row r="4" ht="15.75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U4" t="str">
        <x:v>8/22</x:v>
      </x:c>
      <x:c r="V4" t="n">
        <x:f>'02_전체출석'!E19</x:f>
        <x:v>15</x:v>
      </x:c>
      <x:c r="W4" t="n">
        <x:f>'02_전체출석'!E31/12</x:f>
        <x:v>15</x:v>
      </x:c>
    </x:row>
    <x:row r="5" ht="15.75" customHeight="1">
      <x:c r="A5" s="76" t="str">
        <x:v>1팀</x:v>
      </x:c>
      <x:c r="B5" s="77"/>
      <x:c r="C5" s="77"/>
      <x:c r="D5" s="77"/>
      <x:c r="E5" s="77"/>
      <x:c r="F5" s="78"/>
      <x:c r="G5" s="76" t="str">
        <x:v>2팀</x:v>
      </x:c>
      <x:c r="H5" s="77"/>
      <x:c r="I5" s="77"/>
      <x:c r="J5" s="77"/>
      <x:c r="K5" s="77"/>
      <x:c r="L5" s="78"/>
      <x:c r="M5" s="76" t="str">
        <x:v>3팀</x:v>
      </x:c>
      <x:c r="N5" s="77"/>
      <x:c r="O5" s="77"/>
      <x:c r="P5" s="77"/>
      <x:c r="Q5" s="77"/>
      <x:c r="R5" s="78"/>
      <x:c r="U5" t="str">
        <x:v>8/29</x:v>
      </x:c>
      <x:c r="V5" t="n">
        <x:f>'02_전체출석'!F19</x:f>
        <x:v>17</x:v>
      </x:c>
      <x:c r="W5" t="n">
        <x:f>'02_전체출석'!F31/12</x:f>
        <x:v>15.166666666666666</x:v>
      </x:c>
    </x:row>
    <x:row r="6" ht="15.75" customHeight="1">
      <x:c r="A6" s="79" t="str">
        <x:v>팀장201</x:v>
      </x:c>
      <x:c r="B6" s="73"/>
      <x:c r="C6" s="74" t="n">
        <x:f>'02_전체출석'!G19</x:f>
        <x:v>21</x:v>
      </x:c>
      <x:c r="D6" s="73" t="str">
        <x:v>등반자 : 1명    누적[1]</x:v>
      </x:c>
      <x:c r="E6" s="73"/>
      <x:c r="F6" s="80"/>
      <x:c r="G6" s="79" t="str">
        <x:v>팀장202</x:v>
      </x:c>
      <x:c r="H6" s="73"/>
      <x:c r="I6" s="74" t="n">
        <x:f>'02_전체출석'!G20</x:f>
        <x:v>13</x:v>
      </x:c>
      <x:c r="J6" s="73" t="str">
        <x:v>등반자 : 0명    누적[2]</x:v>
      </x:c>
      <x:c r="K6" s="73"/>
      <x:c r="L6" s="80"/>
      <x:c r="M6" s="79" t="str">
        <x:v>팀장203</x:v>
      </x:c>
      <x:c r="N6" s="73"/>
      <x:c r="O6" s="74" t="n">
        <x:f>'02_전체출석'!G21</x:f>
        <x:v>18</x:v>
      </x:c>
      <x:c r="P6" s="73" t="str">
        <x:v>등반자 : 0명    누적[3]</x:v>
      </x:c>
      <x:c r="Q6" s="73"/>
      <x:c r="R6" s="80"/>
      <x:c r="U6" t="str">
        <x:v>9/5</x:v>
      </x:c>
      <x:c r="V6" t="n">
        <x:f>'02_전체출석'!G19</x:f>
        <x:v>21</x:v>
      </x:c>
      <x:c r="W6" t="n">
        <x:f>'02_전체출석'!G31/12</x:f>
        <x:v>15.833333333333334</x:v>
      </x:c>
    </x:row>
    <x:row r="7" ht="15.75" customHeight="1">
      <x:c r="A7" s="79"/>
      <x:c r="B7" s="73"/>
      <x:c r="C7" s="73"/>
      <x:c r="D7" s="75" t="str">
        <x:v>래사랑 : 1명    누적[2]</x:v>
      </x:c>
      <x:c r="E7" s="75"/>
      <x:c r="F7" s="81"/>
      <x:c r="G7" s="79"/>
      <x:c r="H7" s="73"/>
      <x:c r="I7" s="73"/>
      <x:c r="J7" s="73" t="str">
        <x:v>래사랑 : 0명    누적[3]</x:v>
      </x:c>
      <x:c r="K7" s="73"/>
      <x:c r="L7" s="80"/>
      <x:c r="M7" s="79"/>
      <x:c r="N7" s="73"/>
      <x:c r="O7" s="73"/>
      <x:c r="P7" s="73" t="str">
        <x:v>래사랑 : 0명    누적[4]</x:v>
      </x:c>
      <x:c r="Q7" s="73"/>
      <x:c r="R7" s="80"/>
    </x:row>
    <x:row r="8" ht="15.75" customHeight="1">
      <x:c r="A8" s="82"/>
      <x:c r="B8" s="4"/>
      <x:c r="C8" s="4"/>
      <x:c r="D8" s="4"/>
      <x:c r="E8" s="4"/>
      <x:c r="F8" s="83"/>
      <x:c r="G8" s="82"/>
      <x:c r="H8" s="4"/>
      <x:c r="I8" s="4"/>
      <x:c r="J8" s="4"/>
      <x:c r="K8" s="4"/>
      <x:c r="L8" s="83"/>
      <x:c r="M8" s="82"/>
      <x:c r="N8" s="4"/>
      <x:c r="O8" s="4"/>
      <x:c r="P8" s="4"/>
      <x:c r="Q8" s="4"/>
      <x:c r="R8" s="83"/>
      <x:c r="U8" t="str">
        <x:v>날짜</x:v>
      </x:c>
      <x:c r="V8" t="str">
        <x:v>팀 인원</x:v>
      </x:c>
      <x:c r="W8" t="str">
        <x:v>교구 평균</x:v>
      </x:c>
    </x:row>
    <x:row r="9" ht="15.75" customHeight="1">
      <x:c r="A9" s="82"/>
      <x:c r="B9" s="4"/>
      <x:c r="C9" s="4"/>
      <x:c r="D9" s="4"/>
      <x:c r="E9" s="4"/>
      <x:c r="F9" s="83"/>
      <x:c r="G9" s="82"/>
      <x:c r="H9" s="4"/>
      <x:c r="I9" s="4"/>
      <x:c r="J9" s="4"/>
      <x:c r="K9" s="4"/>
      <x:c r="L9" s="83"/>
      <x:c r="M9" s="82"/>
      <x:c r="N9" s="4"/>
      <x:c r="O9" s="4"/>
      <x:c r="P9" s="4"/>
      <x:c r="Q9" s="4"/>
      <x:c r="R9" s="83"/>
      <x:c r="U9" t="str">
        <x:v>8/15</x:v>
      </x:c>
      <x:c r="V9" t="n">
        <x:f>'02_전체출석'!D20</x:f>
        <x:v>18</x:v>
      </x:c>
      <x:c r="W9" t="n">
        <x:f>'02_전체출석'!D31/12</x:f>
        <x:v>14.833333333333334</x:v>
      </x:c>
    </x:row>
    <x:row r="10" ht="15.75" customHeight="1">
      <x:c r="A10" s="82"/>
      <x:c r="B10" s="4"/>
      <x:c r="C10" s="4"/>
      <x:c r="D10" s="4"/>
      <x:c r="E10" s="4"/>
      <x:c r="F10" s="83"/>
      <x:c r="G10" s="82"/>
      <x:c r="H10" s="4"/>
      <x:c r="I10" s="4"/>
      <x:c r="J10" s="4"/>
      <x:c r="K10" s="4"/>
      <x:c r="L10" s="83"/>
      <x:c r="M10" s="82"/>
      <x:c r="N10" s="4"/>
      <x:c r="O10" s="4"/>
      <x:c r="P10" s="4"/>
      <x:c r="Q10" s="4"/>
      <x:c r="R10" s="83"/>
      <x:c r="U10" t="str">
        <x:v>8/22</x:v>
      </x:c>
      <x:c r="V10" t="n">
        <x:f>'02_전체출석'!E20</x:f>
        <x:v>20</x:v>
      </x:c>
      <x:c r="W10" t="n">
        <x:f>'02_전체출석'!E31/12</x:f>
        <x:v>15</x:v>
      </x:c>
    </x:row>
    <x:row r="11" ht="15.75" customHeight="1">
      <x:c r="A11" s="82"/>
      <x:c r="B11" s="4"/>
      <x:c r="C11" s="4"/>
      <x:c r="D11" s="4"/>
      <x:c r="E11" s="4"/>
      <x:c r="F11" s="83"/>
      <x:c r="G11" s="82"/>
      <x:c r="H11" s="4"/>
      <x:c r="I11" s="4"/>
      <x:c r="J11" s="4"/>
      <x:c r="K11" s="4"/>
      <x:c r="L11" s="83"/>
      <x:c r="M11" s="82"/>
      <x:c r="N11" s="4"/>
      <x:c r="O11" s="4"/>
      <x:c r="P11" s="4"/>
      <x:c r="Q11" s="4"/>
      <x:c r="R11" s="83"/>
      <x:c r="U11" t="str">
        <x:v>8/29</x:v>
      </x:c>
      <x:c r="V11" t="n">
        <x:f>'02_전체출석'!F20</x:f>
        <x:v>11</x:v>
      </x:c>
      <x:c r="W11" t="n">
        <x:f>'02_전체출석'!F31/12</x:f>
        <x:v>15.166666666666666</x:v>
      </x:c>
    </x:row>
    <x:row r="12" ht="15.75" customHeight="1">
      <x:c r="A12" s="82"/>
      <x:c r="B12" s="4"/>
      <x:c r="C12" s="4"/>
      <x:c r="D12" s="4"/>
      <x:c r="E12" s="4"/>
      <x:c r="F12" s="83"/>
      <x:c r="G12" s="82"/>
      <x:c r="H12" s="4"/>
      <x:c r="I12" s="4"/>
      <x:c r="J12" s="4"/>
      <x:c r="K12" s="4"/>
      <x:c r="L12" s="83"/>
      <x:c r="M12" s="82"/>
      <x:c r="N12" s="4"/>
      <x:c r="O12" s="4"/>
      <x:c r="P12" s="4"/>
      <x:c r="Q12" s="4"/>
      <x:c r="R12" s="83"/>
      <x:c r="U12" t="str">
        <x:v>9/5</x:v>
      </x:c>
      <x:c r="V12" t="n">
        <x:f>'02_전체출석'!G20</x:f>
        <x:v>13</x:v>
      </x:c>
      <x:c r="W12" t="n">
        <x:f>'02_전체출석'!G31/12</x:f>
        <x:v>15.833333333333334</x:v>
      </x:c>
    </x:row>
    <x:row r="13" ht="15.75" customHeight="1">
      <x:c r="A13" s="82"/>
      <x:c r="B13" s="4"/>
      <x:c r="C13" s="4"/>
      <x:c r="D13" s="4"/>
      <x:c r="E13" s="4"/>
      <x:c r="F13" s="83"/>
      <x:c r="G13" s="82"/>
      <x:c r="H13" s="4"/>
      <x:c r="I13" s="4"/>
      <x:c r="J13" s="4"/>
      <x:c r="K13" s="4"/>
      <x:c r="L13" s="83"/>
      <x:c r="M13" s="82"/>
      <x:c r="N13" s="4"/>
      <x:c r="O13" s="4"/>
      <x:c r="P13" s="4"/>
      <x:c r="Q13" s="4"/>
      <x:c r="R13" s="83"/>
    </x:row>
    <x:row r="14" ht="15.75" customHeight="1">
      <x:c r="A14" s="82"/>
      <x:c r="B14" s="4"/>
      <x:c r="C14" s="4"/>
      <x:c r="D14" s="4"/>
      <x:c r="E14" s="4"/>
      <x:c r="F14" s="83"/>
      <x:c r="G14" s="82"/>
      <x:c r="H14" s="4"/>
      <x:c r="I14" s="4"/>
      <x:c r="J14" s="4"/>
      <x:c r="K14" s="4"/>
      <x:c r="L14" s="83"/>
      <x:c r="M14" s="82"/>
      <x:c r="N14" s="4"/>
      <x:c r="O14" s="4"/>
      <x:c r="P14" s="4"/>
      <x:c r="Q14" s="4"/>
      <x:c r="R14" s="83"/>
      <x:c r="U14" t="str">
        <x:v>날짜</x:v>
      </x:c>
      <x:c r="V14" t="str">
        <x:v>팀 인원</x:v>
      </x:c>
      <x:c r="W14" t="str">
        <x:v>교구 평균</x:v>
      </x:c>
    </x:row>
    <x:row r="15" ht="15.75" customHeight="1">
      <x:c r="A15" s="82"/>
      <x:c r="B15" s="4"/>
      <x:c r="C15" s="4"/>
      <x:c r="D15" s="4"/>
      <x:c r="E15" s="4"/>
      <x:c r="F15" s="83"/>
      <x:c r="G15" s="82"/>
      <x:c r="H15" s="4"/>
      <x:c r="I15" s="4"/>
      <x:c r="J15" s="4"/>
      <x:c r="K15" s="4"/>
      <x:c r="L15" s="83"/>
      <x:c r="M15" s="82"/>
      <x:c r="N15" s="4"/>
      <x:c r="O15" s="4"/>
      <x:c r="P15" s="4"/>
      <x:c r="Q15" s="4"/>
      <x:c r="R15" s="83"/>
      <x:c r="U15" t="str">
        <x:v>8/15</x:v>
      </x:c>
      <x:c r="V15" t="n">
        <x:f>'02_전체출석'!D21</x:f>
        <x:v>12</x:v>
      </x:c>
      <x:c r="W15" t="n">
        <x:f>'02_전체출석'!D31/12</x:f>
        <x:v>14.833333333333334</x:v>
      </x:c>
    </x:row>
    <x:row r="16" ht="15.75" customHeight="1">
      <x:c r="A16" s="82"/>
      <x:c r="B16" s="4"/>
      <x:c r="C16" s="4"/>
      <x:c r="D16" s="4"/>
      <x:c r="E16" s="4"/>
      <x:c r="F16" s="83"/>
      <x:c r="G16" s="82"/>
      <x:c r="H16" s="4"/>
      <x:c r="I16" s="4"/>
      <x:c r="J16" s="4"/>
      <x:c r="K16" s="4"/>
      <x:c r="L16" s="83"/>
      <x:c r="M16" s="82"/>
      <x:c r="N16" s="4"/>
      <x:c r="O16" s="4"/>
      <x:c r="P16" s="4"/>
      <x:c r="Q16" s="4"/>
      <x:c r="R16" s="83"/>
      <x:c r="U16" t="str">
        <x:v>8/22</x:v>
      </x:c>
      <x:c r="V16" t="n">
        <x:f>'02_전체출석'!E21</x:f>
        <x:v>14</x:v>
      </x:c>
      <x:c r="W16" t="n">
        <x:f>'02_전체출석'!E31/12</x:f>
        <x:v>15</x:v>
      </x:c>
    </x:row>
    <x:row r="17" ht="15.75" customHeight="1">
      <x:c r="A17" s="82"/>
      <x:c r="B17" s="4"/>
      <x:c r="C17" s="4"/>
      <x:c r="D17" s="4"/>
      <x:c r="E17" s="4"/>
      <x:c r="F17" s="83"/>
      <x:c r="G17" s="82"/>
      <x:c r="H17" s="4"/>
      <x:c r="I17" s="4"/>
      <x:c r="J17" s="4"/>
      <x:c r="K17" s="4"/>
      <x:c r="L17" s="83"/>
      <x:c r="M17" s="82"/>
      <x:c r="N17" s="4"/>
      <x:c r="O17" s="4"/>
      <x:c r="P17" s="4"/>
      <x:c r="Q17" s="4"/>
      <x:c r="R17" s="83"/>
      <x:c r="U17" t="str">
        <x:v>8/29</x:v>
      </x:c>
      <x:c r="V17" t="n">
        <x:f>'02_전체출석'!F21</x:f>
        <x:v>16</x:v>
      </x:c>
      <x:c r="W17" t="n">
        <x:f>'02_전체출석'!F31/12</x:f>
        <x:v>15.166666666666666</x:v>
      </x:c>
    </x:row>
    <x:row r="18" ht="15.75" customHeight="1">
      <x:c r="A18" s="82"/>
      <x:c r="B18" s="4"/>
      <x:c r="C18" s="4"/>
      <x:c r="D18" s="4"/>
      <x:c r="E18" s="4"/>
      <x:c r="F18" s="83"/>
      <x:c r="G18" s="82"/>
      <x:c r="H18" s="4"/>
      <x:c r="I18" s="4"/>
      <x:c r="J18" s="4"/>
      <x:c r="K18" s="4"/>
      <x:c r="L18" s="83"/>
      <x:c r="M18" s="82"/>
      <x:c r="N18" s="4"/>
      <x:c r="O18" s="4"/>
      <x:c r="P18" s="4"/>
      <x:c r="Q18" s="4"/>
      <x:c r="R18" s="83"/>
      <x:c r="U18" t="str">
        <x:v>9/5</x:v>
      </x:c>
      <x:c r="V18" t="n">
        <x:f>'02_전체출석'!G21</x:f>
        <x:v>18</x:v>
      </x:c>
      <x:c r="W18" t="n">
        <x:f>'02_전체출석'!G31/12</x:f>
        <x:v>15.833333333333334</x:v>
      </x:c>
    </x:row>
    <x:row r="19" ht="15.75" customHeight="1">
      <x:c r="A19" s="84"/>
      <x:c r="B19" s="85"/>
      <x:c r="C19" s="85"/>
      <x:c r="D19" s="85"/>
      <x:c r="E19" s="85"/>
      <x:c r="F19" s="86"/>
      <x:c r="G19" s="84"/>
      <x:c r="H19" s="85"/>
      <x:c r="I19" s="85"/>
      <x:c r="J19" s="85"/>
      <x:c r="K19" s="85"/>
      <x:c r="L19" s="86"/>
      <x:c r="M19" s="84"/>
      <x:c r="N19" s="85"/>
      <x:c r="O19" s="85"/>
      <x:c r="P19" s="85"/>
      <x:c r="Q19" s="85"/>
      <x:c r="R19" s="86"/>
    </x:row>
    <x:row r="20" ht="15.75" customHeight="1">
      <x:c r="A20" s="76" t="str">
        <x:v>4팀</x:v>
      </x:c>
      <x:c r="B20" s="77"/>
      <x:c r="C20" s="77"/>
      <x:c r="D20" s="77"/>
      <x:c r="E20" s="77"/>
      <x:c r="F20" s="78"/>
      <x:c r="G20" s="76" t="str">
        <x:v>5팀</x:v>
      </x:c>
      <x:c r="H20" s="77"/>
      <x:c r="I20" s="77"/>
      <x:c r="J20" s="77"/>
      <x:c r="K20" s="77"/>
      <x:c r="L20" s="78"/>
      <x:c r="M20" s="76" t="str">
        <x:v>6팀</x:v>
      </x:c>
      <x:c r="N20" s="77"/>
      <x:c r="O20" s="77"/>
      <x:c r="P20" s="77"/>
      <x:c r="Q20" s="77"/>
      <x:c r="R20" s="78"/>
      <x:c r="U20" t="str">
        <x:v>날짜</x:v>
      </x:c>
      <x:c r="V20" t="str">
        <x:v>팀 인원</x:v>
      </x:c>
      <x:c r="W20" t="str">
        <x:v>교구 평균</x:v>
      </x:c>
    </x:row>
    <x:row r="21" ht="15.75" customHeight="1">
      <x:c r="A21" s="79" t="str">
        <x:v>팀장204</x:v>
      </x:c>
      <x:c r="B21" s="73"/>
      <x:c r="C21" s="74" t="n">
        <x:f>'02_전체출석'!G22</x:f>
        <x:v>12</x:v>
      </x:c>
      <x:c r="D21" s="73" t="str">
        <x:v>등반자 : 0명    누적[4]</x:v>
      </x:c>
      <x:c r="E21" s="73"/>
      <x:c r="F21" s="80"/>
      <x:c r="G21" s="79" t="str">
        <x:v>팀장205</x:v>
      </x:c>
      <x:c r="H21" s="73"/>
      <x:c r="I21" s="74" t="n">
        <x:f>'02_전체출석'!G23</x:f>
        <x:v>19</x:v>
      </x:c>
      <x:c r="J21" s="73" t="str">
        <x:v>등반자 : 0명    누적[1]</x:v>
      </x:c>
      <x:c r="K21" s="73"/>
      <x:c r="L21" s="80"/>
      <x:c r="M21" s="79" t="str">
        <x:v>팀장206</x:v>
      </x:c>
      <x:c r="N21" s="73"/>
      <x:c r="O21" s="74" t="n">
        <x:f>'02_전체출석'!G24</x:f>
        <x:v>11</x:v>
      </x:c>
      <x:c r="P21" s="73" t="str">
        <x:v>등반자 : 0명    누적[2]</x:v>
      </x:c>
      <x:c r="Q21" s="73"/>
      <x:c r="R21" s="80"/>
      <x:c r="U21" t="str">
        <x:v>8/15</x:v>
      </x:c>
      <x:c r="V21" t="n">
        <x:f>'02_전체출석'!D22</x:f>
        <x:v>17</x:v>
      </x:c>
      <x:c r="W21" t="n">
        <x:f>'02_전체출석'!D31/12</x:f>
        <x:v>14.833333333333334</x:v>
      </x:c>
    </x:row>
    <x:row r="22" ht="15.75" customHeight="1">
      <x:c r="A22" s="79"/>
      <x:c r="B22" s="73"/>
      <x:c r="C22" s="73"/>
      <x:c r="D22" s="73" t="str">
        <x:v>래사랑 : 0명    누적[5]</x:v>
      </x:c>
      <x:c r="E22" s="73"/>
      <x:c r="F22" s="80"/>
      <x:c r="G22" s="79"/>
      <x:c r="H22" s="73"/>
      <x:c r="I22" s="73"/>
      <x:c r="J22" s="73" t="str">
        <x:v>래사랑 : 0명    누적[6]</x:v>
      </x:c>
      <x:c r="K22" s="73"/>
      <x:c r="L22" s="80"/>
      <x:c r="M22" s="79"/>
      <x:c r="N22" s="73"/>
      <x:c r="O22" s="73"/>
      <x:c r="P22" s="75" t="str">
        <x:v>래사랑 : 1명    누적[7]</x:v>
      </x:c>
      <x:c r="Q22" s="75"/>
      <x:c r="R22" s="81"/>
      <x:c r="U22" t="str">
        <x:v>8/22</x:v>
      </x:c>
      <x:c r="V22" t="n">
        <x:f>'02_전체출석'!E22</x:f>
        <x:v>19</x:v>
      </x:c>
      <x:c r="W22" t="n">
        <x:f>'02_전체출석'!E31/12</x:f>
        <x:v>15</x:v>
      </x:c>
    </x:row>
    <x:row r="23" ht="15.75" customHeight="1">
      <x:c r="A23" s="82"/>
      <x:c r="B23" s="4"/>
      <x:c r="C23" s="4"/>
      <x:c r="D23" s="4"/>
      <x:c r="E23" s="4"/>
      <x:c r="F23" s="83"/>
      <x:c r="G23" s="82"/>
      <x:c r="H23" s="4"/>
      <x:c r="I23" s="4"/>
      <x:c r="J23" s="4"/>
      <x:c r="K23" s="4"/>
      <x:c r="L23" s="83"/>
      <x:c r="M23" s="82"/>
      <x:c r="N23" s="4"/>
      <x:c r="O23" s="4"/>
      <x:c r="P23" s="4"/>
      <x:c r="Q23" s="4"/>
      <x:c r="R23" s="83"/>
      <x:c r="U23" t="str">
        <x:v>8/29</x:v>
      </x:c>
      <x:c r="V23" t="n">
        <x:f>'02_전체출석'!F22</x:f>
        <x:v>10</x:v>
      </x:c>
      <x:c r="W23" t="n">
        <x:f>'02_전체출석'!F31/12</x:f>
        <x:v>15.166666666666666</x:v>
      </x:c>
    </x:row>
    <x:row r="24" ht="15.75" customHeight="1">
      <x:c r="A24" s="82"/>
      <x:c r="B24" s="4"/>
      <x:c r="C24" s="4"/>
      <x:c r="D24" s="4"/>
      <x:c r="E24" s="4"/>
      <x:c r="F24" s="83"/>
      <x:c r="G24" s="82"/>
      <x:c r="H24" s="4"/>
      <x:c r="I24" s="4"/>
      <x:c r="J24" s="4"/>
      <x:c r="K24" s="4"/>
      <x:c r="L24" s="83"/>
      <x:c r="M24" s="82"/>
      <x:c r="N24" s="4"/>
      <x:c r="O24" s="4"/>
      <x:c r="P24" s="4"/>
      <x:c r="Q24" s="4"/>
      <x:c r="R24" s="83"/>
      <x:c r="U24" t="str">
        <x:v>9/5</x:v>
      </x:c>
      <x:c r="V24" t="n">
        <x:f>'02_전체출석'!G22</x:f>
        <x:v>12</x:v>
      </x:c>
      <x:c r="W24" t="n">
        <x:f>'02_전체출석'!G31/12</x:f>
        <x:v>15.833333333333334</x:v>
      </x:c>
    </x:row>
    <x:row r="25" ht="15.75" customHeight="1">
      <x:c r="A25" s="82"/>
      <x:c r="B25" s="4"/>
      <x:c r="C25" s="4"/>
      <x:c r="D25" s="4"/>
      <x:c r="E25" s="4"/>
      <x:c r="F25" s="83"/>
      <x:c r="G25" s="82"/>
      <x:c r="H25" s="4"/>
      <x:c r="I25" s="4"/>
      <x:c r="J25" s="4"/>
      <x:c r="K25" s="4"/>
      <x:c r="L25" s="83"/>
      <x:c r="M25" s="82"/>
      <x:c r="N25" s="4"/>
      <x:c r="O25" s="4"/>
      <x:c r="P25" s="4"/>
      <x:c r="Q25" s="4"/>
      <x:c r="R25" s="83"/>
    </x:row>
    <x:row r="26" ht="15.75" customHeight="1">
      <x:c r="A26" s="82"/>
      <x:c r="B26" s="4"/>
      <x:c r="C26" s="4"/>
      <x:c r="D26" s="4"/>
      <x:c r="E26" s="4"/>
      <x:c r="F26" s="83"/>
      <x:c r="G26" s="82"/>
      <x:c r="H26" s="4"/>
      <x:c r="I26" s="4"/>
      <x:c r="J26" s="4"/>
      <x:c r="K26" s="4"/>
      <x:c r="L26" s="83"/>
      <x:c r="M26" s="82"/>
      <x:c r="N26" s="4"/>
      <x:c r="O26" s="4"/>
      <x:c r="P26" s="4"/>
      <x:c r="Q26" s="4"/>
      <x:c r="R26" s="83"/>
      <x:c r="U26" t="str">
        <x:v>날짜</x:v>
      </x:c>
      <x:c r="V26" t="str">
        <x:v>팀 인원</x:v>
      </x:c>
      <x:c r="W26" t="str">
        <x:v>교구 평균</x:v>
      </x:c>
    </x:row>
    <x:row r="27" ht="15.75" customHeight="1">
      <x:c r="A27" s="82"/>
      <x:c r="B27" s="4"/>
      <x:c r="C27" s="4"/>
      <x:c r="D27" s="4"/>
      <x:c r="E27" s="4"/>
      <x:c r="F27" s="83"/>
      <x:c r="G27" s="82"/>
      <x:c r="H27" s="4"/>
      <x:c r="I27" s="4"/>
      <x:c r="J27" s="4"/>
      <x:c r="K27" s="4"/>
      <x:c r="L27" s="83"/>
      <x:c r="M27" s="82"/>
      <x:c r="N27" s="4"/>
      <x:c r="O27" s="4"/>
      <x:c r="P27" s="4"/>
      <x:c r="Q27" s="4"/>
      <x:c r="R27" s="83"/>
      <x:c r="U27" t="str">
        <x:v>8/15</x:v>
      </x:c>
      <x:c r="V27" t="n">
        <x:f>'02_전체출석'!D23</x:f>
        <x:v>11</x:v>
      </x:c>
      <x:c r="W27" t="n">
        <x:f>'02_전체출석'!D31/12</x:f>
        <x:v>14.833333333333334</x:v>
      </x:c>
    </x:row>
    <x:row r="28" ht="15.75" customHeight="1">
      <x:c r="A28" s="82"/>
      <x:c r="B28" s="4"/>
      <x:c r="C28" s="4"/>
      <x:c r="D28" s="4"/>
      <x:c r="E28" s="4"/>
      <x:c r="F28" s="83"/>
      <x:c r="G28" s="82"/>
      <x:c r="H28" s="4"/>
      <x:c r="I28" s="4"/>
      <x:c r="J28" s="4"/>
      <x:c r="K28" s="4"/>
      <x:c r="L28" s="83"/>
      <x:c r="M28" s="82"/>
      <x:c r="N28" s="4"/>
      <x:c r="O28" s="4"/>
      <x:c r="P28" s="4"/>
      <x:c r="Q28" s="4"/>
      <x:c r="R28" s="83"/>
      <x:c r="U28" t="str">
        <x:v>8/22</x:v>
      </x:c>
      <x:c r="V28" t="n">
        <x:f>'02_전체출석'!E23</x:f>
        <x:v>13</x:v>
      </x:c>
      <x:c r="W28" t="n">
        <x:f>'02_전체출석'!E31/12</x:f>
        <x:v>15</x:v>
      </x:c>
    </x:row>
    <x:row r="29" ht="15.75" customHeight="1">
      <x:c r="A29" s="82"/>
      <x:c r="B29" s="4"/>
      <x:c r="C29" s="4"/>
      <x:c r="D29" s="4"/>
      <x:c r="E29" s="4"/>
      <x:c r="F29" s="83"/>
      <x:c r="G29" s="82"/>
      <x:c r="H29" s="4"/>
      <x:c r="I29" s="4"/>
      <x:c r="J29" s="4"/>
      <x:c r="K29" s="4"/>
      <x:c r="L29" s="83"/>
      <x:c r="M29" s="82"/>
      <x:c r="N29" s="4"/>
      <x:c r="O29" s="4"/>
      <x:c r="P29" s="4"/>
      <x:c r="Q29" s="4"/>
      <x:c r="R29" s="83"/>
      <x:c r="U29" t="str">
        <x:v>8/29</x:v>
      </x:c>
      <x:c r="V29" t="n">
        <x:f>'02_전체출석'!F23</x:f>
        <x:v>15</x:v>
      </x:c>
      <x:c r="W29" t="n">
        <x:f>'02_전체출석'!F31/12</x:f>
        <x:v>15.166666666666666</x:v>
      </x:c>
    </x:row>
    <x:row r="30" ht="15.75" customHeight="1">
      <x:c r="A30" s="82"/>
      <x:c r="B30" s="4"/>
      <x:c r="C30" s="4"/>
      <x:c r="D30" s="4"/>
      <x:c r="E30" s="4"/>
      <x:c r="F30" s="83"/>
      <x:c r="G30" s="82"/>
      <x:c r="H30" s="4"/>
      <x:c r="I30" s="4"/>
      <x:c r="J30" s="4"/>
      <x:c r="K30" s="4"/>
      <x:c r="L30" s="83"/>
      <x:c r="M30" s="82"/>
      <x:c r="N30" s="4"/>
      <x:c r="O30" s="4"/>
      <x:c r="P30" s="4"/>
      <x:c r="Q30" s="4"/>
      <x:c r="R30" s="83"/>
      <x:c r="U30" t="str">
        <x:v>9/5</x:v>
      </x:c>
      <x:c r="V30" t="n">
        <x:f>'02_전체출석'!G23</x:f>
        <x:v>19</x:v>
      </x:c>
      <x:c r="W30" t="n">
        <x:f>'02_전체출석'!G31/12</x:f>
        <x:v>15.833333333333334</x:v>
      </x:c>
    </x:row>
    <x:row r="31" ht="15.75" customHeight="1">
      <x:c r="A31" s="82"/>
      <x:c r="B31" s="4"/>
      <x:c r="C31" s="4"/>
      <x:c r="D31" s="4"/>
      <x:c r="E31" s="4"/>
      <x:c r="F31" s="83"/>
      <x:c r="G31" s="82"/>
      <x:c r="H31" s="4"/>
      <x:c r="I31" s="4"/>
      <x:c r="J31" s="4"/>
      <x:c r="K31" s="4"/>
      <x:c r="L31" s="83"/>
      <x:c r="M31" s="82"/>
      <x:c r="N31" s="4"/>
      <x:c r="O31" s="4"/>
      <x:c r="P31" s="4"/>
      <x:c r="Q31" s="4"/>
      <x:c r="R31" s="83"/>
    </x:row>
    <x:row r="32" ht="15.75" customHeight="1">
      <x:c r="A32" s="82"/>
      <x:c r="B32" s="4"/>
      <x:c r="C32" s="4"/>
      <x:c r="D32" s="4"/>
      <x:c r="E32" s="4"/>
      <x:c r="F32" s="83"/>
      <x:c r="G32" s="82"/>
      <x:c r="H32" s="4"/>
      <x:c r="I32" s="4"/>
      <x:c r="J32" s="4"/>
      <x:c r="K32" s="4"/>
      <x:c r="L32" s="83"/>
      <x:c r="M32" s="82"/>
      <x:c r="N32" s="4"/>
      <x:c r="O32" s="4"/>
      <x:c r="P32" s="4"/>
      <x:c r="Q32" s="4"/>
      <x:c r="R32" s="83"/>
      <x:c r="U32" t="str">
        <x:v>날짜</x:v>
      </x:c>
      <x:c r="V32" t="str">
        <x:v>팀 인원</x:v>
      </x:c>
      <x:c r="W32" t="str">
        <x:v>교구 평균</x:v>
      </x:c>
    </x:row>
    <x:row r="33" ht="15.75" customHeight="1">
      <x:c r="A33" s="82"/>
      <x:c r="B33" s="4"/>
      <x:c r="C33" s="4"/>
      <x:c r="D33" s="4"/>
      <x:c r="E33" s="4"/>
      <x:c r="F33" s="83"/>
      <x:c r="G33" s="82"/>
      <x:c r="H33" s="4"/>
      <x:c r="I33" s="4"/>
      <x:c r="J33" s="4"/>
      <x:c r="K33" s="4"/>
      <x:c r="L33" s="83"/>
      <x:c r="M33" s="82"/>
      <x:c r="N33" s="4"/>
      <x:c r="O33" s="4"/>
      <x:c r="P33" s="4"/>
      <x:c r="Q33" s="4"/>
      <x:c r="R33" s="83"/>
      <x:c r="U33" t="str">
        <x:v>8/15</x:v>
      </x:c>
      <x:c r="V33" t="n">
        <x:f>'02_전체출석'!D24</x:f>
        <x:v>16</x:v>
      </x:c>
      <x:c r="W33" t="n">
        <x:f>'02_전체출석'!D31/12</x:f>
        <x:v>14.833333333333334</x:v>
      </x:c>
    </x:row>
    <x:row r="34" ht="15.75" customHeight="1">
      <x:c r="A34" s="84"/>
      <x:c r="B34" s="85"/>
      <x:c r="C34" s="85"/>
      <x:c r="D34" s="85"/>
      <x:c r="E34" s="85"/>
      <x:c r="F34" s="86"/>
      <x:c r="G34" s="84"/>
      <x:c r="H34" s="85"/>
      <x:c r="I34" s="85"/>
      <x:c r="J34" s="85"/>
      <x:c r="K34" s="85"/>
      <x:c r="L34" s="86"/>
      <x:c r="M34" s="84"/>
      <x:c r="N34" s="85"/>
      <x:c r="O34" s="85"/>
      <x:c r="P34" s="85"/>
      <x:c r="Q34" s="85"/>
      <x:c r="R34" s="86"/>
      <x:c r="U34" t="str">
        <x:v>8/22</x:v>
      </x:c>
      <x:c r="V34" t="n">
        <x:f>'02_전체출석'!E24</x:f>
        <x:v>18</x:v>
      </x:c>
      <x:c r="W34" t="n">
        <x:f>'02_전체출석'!E31/12</x:f>
        <x:v>15</x:v>
      </x:c>
    </x:row>
    <x:row r="35" ht="15.75" customHeight="1">
      <x:c r="A35" s="76" t="str">
        <x:v>7팀</x:v>
      </x:c>
      <x:c r="B35" s="77"/>
      <x:c r="C35" s="77"/>
      <x:c r="D35" s="77"/>
      <x:c r="E35" s="77"/>
      <x:c r="F35" s="78"/>
      <x:c r="G35" s="76" t="str">
        <x:v>8팀</x:v>
      </x:c>
      <x:c r="H35" s="77"/>
      <x:c r="I35" s="77"/>
      <x:c r="J35" s="77"/>
      <x:c r="K35" s="77"/>
      <x:c r="L35" s="78"/>
      <x:c r="M35" s="76" t="str">
        <x:v>9팀</x:v>
      </x:c>
      <x:c r="N35" s="77"/>
      <x:c r="O35" s="77"/>
      <x:c r="P35" s="77"/>
      <x:c r="Q35" s="77"/>
      <x:c r="R35" s="78"/>
      <x:c r="U35" t="str">
        <x:v>8/29</x:v>
      </x:c>
      <x:c r="V35" t="n">
        <x:f>'02_전체출석'!F24</x:f>
        <x:v>20</x:v>
      </x:c>
      <x:c r="W35" t="n">
        <x:f>'02_전체출석'!F31/12</x:f>
        <x:v>15.166666666666666</x:v>
      </x:c>
    </x:row>
    <x:row r="36" ht="15.75" customHeight="1">
      <x:c r="A36" s="79" t="str">
        <x:v>팀장207</x:v>
      </x:c>
      <x:c r="B36" s="73"/>
      <x:c r="C36" s="74" t="n">
        <x:f>'02_전체출석'!G25</x:f>
        <x:v>16</x:v>
      </x:c>
      <x:c r="D36" s="73" t="str">
        <x:v>등반자 : 0명    누적[3]</x:v>
      </x:c>
      <x:c r="E36" s="73"/>
      <x:c r="F36" s="80"/>
      <x:c r="G36" s="79" t="str">
        <x:v>팀장208</x:v>
      </x:c>
      <x:c r="H36" s="73"/>
      <x:c r="I36" s="74" t="n">
        <x:f>'02_전체출석'!G26</x:f>
        <x:v>10</x:v>
      </x:c>
      <x:c r="J36" s="73" t="str">
        <x:v>등반자 : 1명    누적[4]</x:v>
      </x:c>
      <x:c r="K36" s="73"/>
      <x:c r="L36" s="80"/>
      <x:c r="M36" s="79" t="str">
        <x:v>팀장209</x:v>
      </x:c>
      <x:c r="N36" s="73"/>
      <x:c r="O36" s="74" t="n">
        <x:f>'02_전체출석'!G27</x:f>
        <x:v>17</x:v>
      </x:c>
      <x:c r="P36" s="73" t="str">
        <x:v>등반자 : 0명    누적[1]</x:v>
      </x:c>
      <x:c r="Q36" s="73"/>
      <x:c r="R36" s="80"/>
      <x:c r="U36" t="str">
        <x:v>9/5</x:v>
      </x:c>
      <x:c r="V36" t="n">
        <x:f>'02_전체출석'!G24</x:f>
        <x:v>11</x:v>
      </x:c>
      <x:c r="W36" t="n">
        <x:f>'02_전체출석'!G31/12</x:f>
        <x:v>15.833333333333334</x:v>
      </x:c>
    </x:row>
    <x:row r="37" ht="15.75" customHeight="1">
      <x:c r="A37" s="79"/>
      <x:c r="B37" s="73"/>
      <x:c r="C37" s="73"/>
      <x:c r="D37" s="73" t="str">
        <x:v>래사랑 : 0명    누적[2]</x:v>
      </x:c>
      <x:c r="E37" s="73"/>
      <x:c r="F37" s="80"/>
      <x:c r="G37" s="79"/>
      <x:c r="H37" s="73"/>
      <x:c r="I37" s="73"/>
      <x:c r="J37" s="73" t="str">
        <x:v>래사랑 : 0명    누적[3]</x:v>
      </x:c>
      <x:c r="K37" s="73"/>
      <x:c r="L37" s="80"/>
      <x:c r="M37" s="79"/>
      <x:c r="N37" s="73"/>
      <x:c r="O37" s="73"/>
      <x:c r="P37" s="73" t="str">
        <x:v>래사랑 : 0명    누적[4]</x:v>
      </x:c>
      <x:c r="Q37" s="73"/>
      <x:c r="R37" s="80"/>
    </x:row>
    <x:row r="38" ht="15.75" customHeight="1">
      <x:c r="A38" s="82"/>
      <x:c r="B38" s="4"/>
      <x:c r="C38" s="4"/>
      <x:c r="D38" s="4"/>
      <x:c r="E38" s="4"/>
      <x:c r="F38" s="83"/>
      <x:c r="G38" s="82"/>
      <x:c r="H38" s="4"/>
      <x:c r="I38" s="4"/>
      <x:c r="J38" s="4"/>
      <x:c r="K38" s="4"/>
      <x:c r="L38" s="83"/>
      <x:c r="M38" s="82"/>
      <x:c r="N38" s="4"/>
      <x:c r="O38" s="4"/>
      <x:c r="P38" s="4"/>
      <x:c r="Q38" s="4"/>
      <x:c r="R38" s="83"/>
      <x:c r="U38" t="str">
        <x:v>날짜</x:v>
      </x:c>
      <x:c r="V38" t="str">
        <x:v>팀 인원</x:v>
      </x:c>
      <x:c r="W38" t="str">
        <x:v>교구 평균</x:v>
      </x:c>
    </x:row>
    <x:row r="39" ht="15.75" customHeight="1">
      <x:c r="A39" s="82"/>
      <x:c r="B39" s="4"/>
      <x:c r="C39" s="4"/>
      <x:c r="D39" s="4"/>
      <x:c r="E39" s="4"/>
      <x:c r="F39" s="83"/>
      <x:c r="G39" s="82"/>
      <x:c r="H39" s="4"/>
      <x:c r="I39" s="4"/>
      <x:c r="J39" s="4"/>
      <x:c r="K39" s="4"/>
      <x:c r="L39" s="83"/>
      <x:c r="M39" s="82"/>
      <x:c r="N39" s="4"/>
      <x:c r="O39" s="4"/>
      <x:c r="P39" s="4"/>
      <x:c r="Q39" s="4"/>
      <x:c r="R39" s="83"/>
      <x:c r="U39" t="str">
        <x:v>8/15</x:v>
      </x:c>
      <x:c r="V39" t="n">
        <x:f>'02_전체출석'!D25</x:f>
        <x:v>10</x:v>
      </x:c>
      <x:c r="W39" t="n">
        <x:f>'02_전체출석'!D31/12</x:f>
        <x:v>14.833333333333334</x:v>
      </x:c>
    </x:row>
    <x:row r="40" ht="15.75" customHeight="1">
      <x:c r="A40" s="82"/>
      <x:c r="B40" s="4"/>
      <x:c r="C40" s="4"/>
      <x:c r="D40" s="4"/>
      <x:c r="E40" s="4"/>
      <x:c r="F40" s="83"/>
      <x:c r="G40" s="82"/>
      <x:c r="H40" s="4"/>
      <x:c r="I40" s="4"/>
      <x:c r="J40" s="4"/>
      <x:c r="K40" s="4"/>
      <x:c r="L40" s="83"/>
      <x:c r="M40" s="82"/>
      <x:c r="N40" s="4"/>
      <x:c r="O40" s="4"/>
      <x:c r="P40" s="4"/>
      <x:c r="Q40" s="4"/>
      <x:c r="R40" s="83"/>
      <x:c r="U40" t="str">
        <x:v>8/22</x:v>
      </x:c>
      <x:c r="V40" t="n">
        <x:f>'02_전체출석'!E25</x:f>
        <x:v>12</x:v>
      </x:c>
      <x:c r="W40" t="n">
        <x:f>'02_전체출석'!E31/12</x:f>
        <x:v>15</x:v>
      </x:c>
    </x:row>
    <x:row r="41" ht="15.75" customHeight="1">
      <x:c r="A41" s="82"/>
      <x:c r="B41" s="4"/>
      <x:c r="C41" s="4"/>
      <x:c r="D41" s="4"/>
      <x:c r="E41" s="4"/>
      <x:c r="F41" s="83"/>
      <x:c r="G41" s="82"/>
      <x:c r="H41" s="4"/>
      <x:c r="I41" s="4"/>
      <x:c r="J41" s="4"/>
      <x:c r="K41" s="4"/>
      <x:c r="L41" s="83"/>
      <x:c r="M41" s="82"/>
      <x:c r="N41" s="4"/>
      <x:c r="O41" s="4"/>
      <x:c r="P41" s="4"/>
      <x:c r="Q41" s="4"/>
      <x:c r="R41" s="83"/>
      <x:c r="U41" t="str">
        <x:v>8/29</x:v>
      </x:c>
      <x:c r="V41" t="n">
        <x:f>'02_전체출석'!F25</x:f>
        <x:v>14</x:v>
      </x:c>
      <x:c r="W41" t="n">
        <x:f>'02_전체출석'!F31/12</x:f>
        <x:v>15.166666666666666</x:v>
      </x:c>
    </x:row>
    <x:row r="42" ht="15.75" customHeight="1">
      <x:c r="A42" s="82"/>
      <x:c r="B42" s="4"/>
      <x:c r="C42" s="4"/>
      <x:c r="D42" s="4"/>
      <x:c r="E42" s="4"/>
      <x:c r="F42" s="83"/>
      <x:c r="G42" s="82"/>
      <x:c r="H42" s="4"/>
      <x:c r="I42" s="4"/>
      <x:c r="J42" s="4"/>
      <x:c r="K42" s="4"/>
      <x:c r="L42" s="83"/>
      <x:c r="M42" s="82"/>
      <x:c r="N42" s="4"/>
      <x:c r="O42" s="4"/>
      <x:c r="P42" s="4"/>
      <x:c r="Q42" s="4"/>
      <x:c r="R42" s="83"/>
      <x:c r="U42" t="str">
        <x:v>9/5</x:v>
      </x:c>
      <x:c r="V42" t="n">
        <x:f>'02_전체출석'!G25</x:f>
        <x:v>16</x:v>
      </x:c>
      <x:c r="W42" t="n">
        <x:f>'02_전체출석'!G31/12</x:f>
        <x:v>15.833333333333334</x:v>
      </x:c>
    </x:row>
    <x:row r="43" ht="15.75" customHeight="1">
      <x:c r="A43" s="82"/>
      <x:c r="B43" s="4"/>
      <x:c r="C43" s="4"/>
      <x:c r="D43" s="4"/>
      <x:c r="E43" s="4"/>
      <x:c r="F43" s="83"/>
      <x:c r="G43" s="82"/>
      <x:c r="H43" s="4"/>
      <x:c r="I43" s="4"/>
      <x:c r="J43" s="4"/>
      <x:c r="K43" s="4"/>
      <x:c r="L43" s="83"/>
      <x:c r="M43" s="82"/>
      <x:c r="N43" s="4"/>
      <x:c r="O43" s="4"/>
      <x:c r="P43" s="4"/>
      <x:c r="Q43" s="4"/>
      <x:c r="R43" s="83"/>
    </x:row>
    <x:row r="44" ht="15.75" customHeight="1">
      <x:c r="A44" s="82"/>
      <x:c r="B44" s="4"/>
      <x:c r="C44" s="4"/>
      <x:c r="D44" s="4"/>
      <x:c r="E44" s="4"/>
      <x:c r="F44" s="83"/>
      <x:c r="G44" s="82"/>
      <x:c r="H44" s="4"/>
      <x:c r="I44" s="4"/>
      <x:c r="J44" s="4"/>
      <x:c r="K44" s="4"/>
      <x:c r="L44" s="83"/>
      <x:c r="M44" s="82"/>
      <x:c r="N44" s="4"/>
      <x:c r="O44" s="4"/>
      <x:c r="P44" s="4"/>
      <x:c r="Q44" s="4"/>
      <x:c r="R44" s="83"/>
      <x:c r="U44" t="str">
        <x:v>날짜</x:v>
      </x:c>
      <x:c r="V44" t="str">
        <x:v>팀 인원</x:v>
      </x:c>
      <x:c r="W44" t="str">
        <x:v>교구 평균</x:v>
      </x:c>
    </x:row>
    <x:row r="45" ht="15.75" customHeight="1">
      <x:c r="A45" s="82"/>
      <x:c r="B45" s="4"/>
      <x:c r="C45" s="4"/>
      <x:c r="D45" s="4"/>
      <x:c r="E45" s="4"/>
      <x:c r="F45" s="83"/>
      <x:c r="G45" s="82"/>
      <x:c r="H45" s="4"/>
      <x:c r="I45" s="4"/>
      <x:c r="J45" s="4"/>
      <x:c r="K45" s="4"/>
      <x:c r="L45" s="83"/>
      <x:c r="M45" s="82"/>
      <x:c r="N45" s="4"/>
      <x:c r="O45" s="4"/>
      <x:c r="P45" s="4"/>
      <x:c r="Q45" s="4"/>
      <x:c r="R45" s="83"/>
      <x:c r="U45" t="str">
        <x:v>8/15</x:v>
      </x:c>
      <x:c r="V45" t="n">
        <x:f>'02_전체출석'!D26</x:f>
        <x:v>15</x:v>
      </x:c>
      <x:c r="W45" t="n">
        <x:f>'02_전체출석'!D31/12</x:f>
        <x:v>14.833333333333334</x:v>
      </x:c>
    </x:row>
    <x:row r="46" ht="15.75" customHeight="1">
      <x:c r="A46" s="82"/>
      <x:c r="B46" s="4"/>
      <x:c r="C46" s="4"/>
      <x:c r="D46" s="4"/>
      <x:c r="E46" s="4"/>
      <x:c r="F46" s="83"/>
      <x:c r="G46" s="82"/>
      <x:c r="H46" s="4"/>
      <x:c r="I46" s="4"/>
      <x:c r="J46" s="4"/>
      <x:c r="K46" s="4"/>
      <x:c r="L46" s="83"/>
      <x:c r="M46" s="82"/>
      <x:c r="N46" s="4"/>
      <x:c r="O46" s="4"/>
      <x:c r="P46" s="4"/>
      <x:c r="Q46" s="4"/>
      <x:c r="R46" s="83"/>
      <x:c r="U46" t="str">
        <x:v>8/22</x:v>
      </x:c>
      <x:c r="V46" t="n">
        <x:f>'02_전체출석'!E26</x:f>
        <x:v>17</x:v>
      </x:c>
      <x:c r="W46" t="n">
        <x:f>'02_전체출석'!E31/12</x:f>
        <x:v>15</x:v>
      </x:c>
    </x:row>
    <x:row r="47" ht="15.75" customHeight="1">
      <x:c r="A47" s="82"/>
      <x:c r="B47" s="4"/>
      <x:c r="C47" s="4"/>
      <x:c r="D47" s="4"/>
      <x:c r="E47" s="4"/>
      <x:c r="F47" s="83"/>
      <x:c r="G47" s="82"/>
      <x:c r="H47" s="4"/>
      <x:c r="I47" s="4"/>
      <x:c r="J47" s="4"/>
      <x:c r="K47" s="4"/>
      <x:c r="L47" s="83"/>
      <x:c r="M47" s="82"/>
      <x:c r="N47" s="4"/>
      <x:c r="O47" s="4"/>
      <x:c r="P47" s="4"/>
      <x:c r="Q47" s="4"/>
      <x:c r="R47" s="83"/>
      <x:c r="U47" t="str">
        <x:v>8/29</x:v>
      </x:c>
      <x:c r="V47" t="n">
        <x:f>'02_전체출석'!F26</x:f>
        <x:v>19</x:v>
      </x:c>
      <x:c r="W47" t="n">
        <x:f>'02_전체출석'!F31/12</x:f>
        <x:v>15.166666666666666</x:v>
      </x:c>
    </x:row>
    <x:row r="48" ht="15.75" customHeight="1">
      <x:c r="A48" s="82"/>
      <x:c r="B48" s="4"/>
      <x:c r="C48" s="4"/>
      <x:c r="D48" s="4"/>
      <x:c r="E48" s="4"/>
      <x:c r="F48" s="83"/>
      <x:c r="G48" s="82"/>
      <x:c r="H48" s="4"/>
      <x:c r="I48" s="4"/>
      <x:c r="J48" s="4"/>
      <x:c r="K48" s="4"/>
      <x:c r="L48" s="83"/>
      <x:c r="M48" s="82"/>
      <x:c r="N48" s="4"/>
      <x:c r="O48" s="4"/>
      <x:c r="P48" s="4"/>
      <x:c r="Q48" s="4"/>
      <x:c r="R48" s="83"/>
      <x:c r="U48" t="str">
        <x:v>9/5</x:v>
      </x:c>
      <x:c r="V48" t="n">
        <x:f>'02_전체출석'!G26</x:f>
        <x:v>10</x:v>
      </x:c>
      <x:c r="W48" t="n">
        <x:f>'02_전체출석'!G31/12</x:f>
        <x:v>15.833333333333334</x:v>
      </x:c>
    </x:row>
    <x:row r="49" ht="15.75" customHeight="1">
      <x:c r="A49" s="84"/>
      <x:c r="B49" s="85"/>
      <x:c r="C49" s="85"/>
      <x:c r="D49" s="85"/>
      <x:c r="E49" s="85"/>
      <x:c r="F49" s="86"/>
      <x:c r="G49" s="84"/>
      <x:c r="H49" s="85"/>
      <x:c r="I49" s="85"/>
      <x:c r="J49" s="85"/>
      <x:c r="K49" s="85"/>
      <x:c r="L49" s="86"/>
      <x:c r="M49" s="84"/>
      <x:c r="N49" s="85"/>
      <x:c r="O49" s="85"/>
      <x:c r="P49" s="85"/>
      <x:c r="Q49" s="85"/>
      <x:c r="R49" s="86"/>
    </x:row>
    <x:row r="50" ht="15.75" customHeight="1">
      <x:c r="A50" s="76" t="str">
        <x:v>10팀</x:v>
      </x:c>
      <x:c r="B50" s="77"/>
      <x:c r="C50" s="77"/>
      <x:c r="D50" s="77"/>
      <x:c r="E50" s="77"/>
      <x:c r="F50" s="78"/>
      <x:c r="G50" s="76" t="str">
        <x:v>11팀</x:v>
      </x:c>
      <x:c r="H50" s="77"/>
      <x:c r="I50" s="77"/>
      <x:c r="J50" s="77"/>
      <x:c r="K50" s="77"/>
      <x:c r="L50" s="78"/>
      <x:c r="M50" s="76" t="str">
        <x:v>12팀</x:v>
      </x:c>
      <x:c r="N50" s="77"/>
      <x:c r="O50" s="77"/>
      <x:c r="P50" s="77"/>
      <x:c r="Q50" s="77"/>
      <x:c r="R50" s="78"/>
      <x:c r="U50" t="str">
        <x:v>날짜</x:v>
      </x:c>
      <x:c r="V50" t="str">
        <x:v>팀 인원</x:v>
      </x:c>
      <x:c r="W50" t="str">
        <x:v>교구 평균</x:v>
      </x:c>
    </x:row>
    <x:row r="51" ht="15.75" customHeight="1">
      <x:c r="A51" s="79" t="str">
        <x:v>팀장210</x:v>
      </x:c>
      <x:c r="B51" s="73"/>
      <x:c r="C51" s="74" t="n">
        <x:f>'02_전체출석'!G28</x:f>
        <x:v>20</x:v>
      </x:c>
      <x:c r="D51" s="73" t="str">
        <x:v>등반자 : 0명    누적[2]</x:v>
      </x:c>
      <x:c r="E51" s="73"/>
      <x:c r="F51" s="80"/>
      <x:c r="G51" s="79" t="str">
        <x:v>팀장211</x:v>
      </x:c>
      <x:c r="H51" s="73"/>
      <x:c r="I51" s="74" t="n">
        <x:f>'02_전체출석'!G29</x:f>
        <x:v>14</x:v>
      </x:c>
      <x:c r="J51" s="73" t="str">
        <x:v>등반자 : 0명    누적[3]</x:v>
      </x:c>
      <x:c r="K51" s="73"/>
      <x:c r="L51" s="80"/>
      <x:c r="M51" s="79" t="str">
        <x:v>팀장212</x:v>
      </x:c>
      <x:c r="N51" s="73"/>
      <x:c r="O51" s="74" t="n">
        <x:f>'02_전체출석'!G30</x:f>
        <x:v>19</x:v>
      </x:c>
      <x:c r="P51" s="73" t="str">
        <x:v>등반자 : 0명    누적[4]</x:v>
      </x:c>
      <x:c r="Q51" s="73"/>
      <x:c r="R51" s="80"/>
      <x:c r="U51" t="str">
        <x:v>8/15</x:v>
      </x:c>
      <x:c r="V51" t="n">
        <x:f>'02_전체출석'!D27</x:f>
        <x:v>20</x:v>
      </x:c>
      <x:c r="W51" t="n">
        <x:f>'02_전체출석'!D31/12</x:f>
        <x:v>14.833333333333334</x:v>
      </x:c>
    </x:row>
    <x:row r="52" ht="15.75" customHeight="1">
      <x:c r="A52" s="79"/>
      <x:c r="B52" s="73"/>
      <x:c r="C52" s="73"/>
      <x:c r="D52" s="73" t="str">
        <x:v>래사랑 : 0명    누적[5]</x:v>
      </x:c>
      <x:c r="E52" s="73"/>
      <x:c r="F52" s="80"/>
      <x:c r="G52" s="79"/>
      <x:c r="H52" s="73"/>
      <x:c r="I52" s="73"/>
      <x:c r="J52" s="75" t="str">
        <x:v>래사랑 : 1명    누적[6]</x:v>
      </x:c>
      <x:c r="K52" s="75"/>
      <x:c r="L52" s="81"/>
      <x:c r="M52" s="79"/>
      <x:c r="N52" s="73"/>
      <x:c r="O52" s="73"/>
      <x:c r="P52" s="73" t="str">
        <x:v>래사랑 : 0명    누적[7]</x:v>
      </x:c>
      <x:c r="Q52" s="73"/>
      <x:c r="R52" s="80"/>
      <x:c r="U52" t="str">
        <x:v>8/22</x:v>
      </x:c>
      <x:c r="V52" t="n">
        <x:f>'02_전체출석'!E27</x:f>
        <x:v>11</x:v>
      </x:c>
      <x:c r="W52" t="n">
        <x:f>'02_전체출석'!E31/12</x:f>
        <x:v>15</x:v>
      </x:c>
    </x:row>
    <x:row r="53" ht="15.75" customHeight="1">
      <x:c r="A53" s="82"/>
      <x:c r="B53" s="4"/>
      <x:c r="C53" s="4"/>
      <x:c r="D53" s="4"/>
      <x:c r="E53" s="4"/>
      <x:c r="F53" s="83"/>
      <x:c r="G53" s="82"/>
      <x:c r="H53" s="4"/>
      <x:c r="I53" s="4"/>
      <x:c r="J53" s="4"/>
      <x:c r="K53" s="4"/>
      <x:c r="L53" s="83"/>
      <x:c r="M53" s="82"/>
      <x:c r="N53" s="4"/>
      <x:c r="O53" s="4"/>
      <x:c r="P53" s="4"/>
      <x:c r="Q53" s="4"/>
      <x:c r="R53" s="83"/>
      <x:c r="U53" t="str">
        <x:v>8/29</x:v>
      </x:c>
      <x:c r="V53" t="n">
        <x:f>'02_전체출석'!F27</x:f>
        <x:v>13</x:v>
      </x:c>
      <x:c r="W53" t="n">
        <x:f>'02_전체출석'!F31/12</x:f>
        <x:v>15.166666666666666</x:v>
      </x:c>
    </x:row>
    <x:row r="54" ht="15.75" customHeight="1">
      <x:c r="A54" s="82"/>
      <x:c r="B54" s="4"/>
      <x:c r="C54" s="4"/>
      <x:c r="D54" s="4"/>
      <x:c r="E54" s="4"/>
      <x:c r="F54" s="83"/>
      <x:c r="G54" s="82"/>
      <x:c r="H54" s="4"/>
      <x:c r="I54" s="4"/>
      <x:c r="J54" s="4"/>
      <x:c r="K54" s="4"/>
      <x:c r="L54" s="83"/>
      <x:c r="M54" s="82"/>
      <x:c r="N54" s="4"/>
      <x:c r="O54" s="4"/>
      <x:c r="P54" s="4"/>
      <x:c r="Q54" s="4"/>
      <x:c r="R54" s="83"/>
      <x:c r="U54" t="str">
        <x:v>9/5</x:v>
      </x:c>
      <x:c r="V54" t="n">
        <x:f>'02_전체출석'!G27</x:f>
        <x:v>17</x:v>
      </x:c>
      <x:c r="W54" t="n">
        <x:f>'02_전체출석'!G31/12</x:f>
        <x:v>15.833333333333334</x:v>
      </x:c>
    </x:row>
    <x:row r="55" ht="15.75" customHeight="1">
      <x:c r="A55" s="82"/>
      <x:c r="B55" s="4"/>
      <x:c r="C55" s="4"/>
      <x:c r="D55" s="4"/>
      <x:c r="E55" s="4"/>
      <x:c r="F55" s="83"/>
      <x:c r="G55" s="82"/>
      <x:c r="H55" s="4"/>
      <x:c r="I55" s="4"/>
      <x:c r="J55" s="4"/>
      <x:c r="K55" s="4"/>
      <x:c r="L55" s="83"/>
      <x:c r="M55" s="82"/>
      <x:c r="N55" s="4"/>
      <x:c r="O55" s="4"/>
      <x:c r="P55" s="4"/>
      <x:c r="Q55" s="4"/>
      <x:c r="R55" s="83"/>
    </x:row>
    <x:row r="56" ht="15.75" customHeight="1">
      <x:c r="A56" s="82"/>
      <x:c r="B56" s="4"/>
      <x:c r="C56" s="4"/>
      <x:c r="D56" s="4"/>
      <x:c r="E56" s="4"/>
      <x:c r="F56" s="83"/>
      <x:c r="G56" s="82"/>
      <x:c r="H56" s="4"/>
      <x:c r="I56" s="4"/>
      <x:c r="J56" s="4"/>
      <x:c r="K56" s="4"/>
      <x:c r="L56" s="83"/>
      <x:c r="M56" s="82"/>
      <x:c r="N56" s="4"/>
      <x:c r="O56" s="4"/>
      <x:c r="P56" s="4"/>
      <x:c r="Q56" s="4"/>
      <x:c r="R56" s="83"/>
      <x:c r="U56" t="str">
        <x:v>날짜</x:v>
      </x:c>
      <x:c r="V56" t="str">
        <x:v>팀 인원</x:v>
      </x:c>
      <x:c r="W56" t="str">
        <x:v>교구 평균</x:v>
      </x:c>
    </x:row>
    <x:row r="57" ht="15.75" customHeight="1">
      <x:c r="A57" s="82"/>
      <x:c r="B57" s="4"/>
      <x:c r="C57" s="4"/>
      <x:c r="D57" s="4"/>
      <x:c r="E57" s="4"/>
      <x:c r="F57" s="83"/>
      <x:c r="G57" s="82"/>
      <x:c r="H57" s="4"/>
      <x:c r="I57" s="4"/>
      <x:c r="J57" s="4"/>
      <x:c r="K57" s="4"/>
      <x:c r="L57" s="83"/>
      <x:c r="M57" s="82"/>
      <x:c r="N57" s="4"/>
      <x:c r="O57" s="4"/>
      <x:c r="P57" s="4"/>
      <x:c r="Q57" s="4"/>
      <x:c r="R57" s="83"/>
      <x:c r="U57" t="str">
        <x:v>8/15</x:v>
      </x:c>
      <x:c r="V57" t="n">
        <x:f>'02_전체출석'!D28</x:f>
        <x:v>14</x:v>
      </x:c>
      <x:c r="W57" t="n">
        <x:f>'02_전체출석'!D31/12</x:f>
        <x:v>14.833333333333334</x:v>
      </x:c>
    </x:row>
    <x:row r="58" ht="15.75" customHeight="1">
      <x:c r="A58" s="82"/>
      <x:c r="B58" s="4"/>
      <x:c r="C58" s="4"/>
      <x:c r="D58" s="4"/>
      <x:c r="E58" s="4"/>
      <x:c r="F58" s="83"/>
      <x:c r="G58" s="82"/>
      <x:c r="H58" s="4"/>
      <x:c r="I58" s="4"/>
      <x:c r="J58" s="4"/>
      <x:c r="K58" s="4"/>
      <x:c r="L58" s="83"/>
      <x:c r="M58" s="82"/>
      <x:c r="N58" s="4"/>
      <x:c r="O58" s="4"/>
      <x:c r="P58" s="4"/>
      <x:c r="Q58" s="4"/>
      <x:c r="R58" s="83"/>
      <x:c r="U58" t="str">
        <x:v>8/22</x:v>
      </x:c>
      <x:c r="V58" t="n">
        <x:f>'02_전체출석'!E28</x:f>
        <x:v>16</x:v>
      </x:c>
      <x:c r="W58" t="n">
        <x:f>'02_전체출석'!E31/12</x:f>
        <x:v>15</x:v>
      </x:c>
    </x:row>
    <x:row r="59" ht="15.75" customHeight="1">
      <x:c r="A59" s="82"/>
      <x:c r="B59" s="4"/>
      <x:c r="C59" s="4"/>
      <x:c r="D59" s="4"/>
      <x:c r="E59" s="4"/>
      <x:c r="F59" s="83"/>
      <x:c r="G59" s="82"/>
      <x:c r="H59" s="4"/>
      <x:c r="I59" s="4"/>
      <x:c r="J59" s="4"/>
      <x:c r="K59" s="4"/>
      <x:c r="L59" s="83"/>
      <x:c r="M59" s="82"/>
      <x:c r="N59" s="4"/>
      <x:c r="O59" s="4"/>
      <x:c r="P59" s="4"/>
      <x:c r="Q59" s="4"/>
      <x:c r="R59" s="83"/>
      <x:c r="U59" t="str">
        <x:v>8/29</x:v>
      </x:c>
      <x:c r="V59" t="n">
        <x:f>'02_전체출석'!F28</x:f>
        <x:v>18</x:v>
      </x:c>
      <x:c r="W59" t="n">
        <x:f>'02_전체출석'!F31/12</x:f>
        <x:v>15.166666666666666</x:v>
      </x:c>
    </x:row>
    <x:row r="60" ht="15.75" customHeight="1">
      <x:c r="A60" s="82"/>
      <x:c r="B60" s="4"/>
      <x:c r="C60" s="4"/>
      <x:c r="D60" s="4"/>
      <x:c r="E60" s="4"/>
      <x:c r="F60" s="83"/>
      <x:c r="G60" s="82"/>
      <x:c r="H60" s="4"/>
      <x:c r="I60" s="4"/>
      <x:c r="J60" s="4"/>
      <x:c r="K60" s="4"/>
      <x:c r="L60" s="83"/>
      <x:c r="M60" s="82"/>
      <x:c r="N60" s="4"/>
      <x:c r="O60" s="4"/>
      <x:c r="P60" s="4"/>
      <x:c r="Q60" s="4"/>
      <x:c r="R60" s="83"/>
      <x:c r="U60" t="str">
        <x:v>9/5</x:v>
      </x:c>
      <x:c r="V60" t="n">
        <x:f>'02_전체출석'!G28</x:f>
        <x:v>20</x:v>
      </x:c>
      <x:c r="W60" t="n">
        <x:f>'02_전체출석'!G31/12</x:f>
        <x:v>15.833333333333334</x:v>
      </x:c>
    </x:row>
    <x:row r="61" ht="15.75" customHeight="1">
      <x:c r="A61" s="82"/>
      <x:c r="B61" s="4"/>
      <x:c r="C61" s="4"/>
      <x:c r="D61" s="4"/>
      <x:c r="E61" s="4"/>
      <x:c r="F61" s="83"/>
      <x:c r="G61" s="82"/>
      <x:c r="H61" s="4"/>
      <x:c r="I61" s="4"/>
      <x:c r="J61" s="4"/>
      <x:c r="K61" s="4"/>
      <x:c r="L61" s="83"/>
      <x:c r="M61" s="82"/>
      <x:c r="N61" s="4"/>
      <x:c r="O61" s="4"/>
      <x:c r="P61" s="4"/>
      <x:c r="Q61" s="4"/>
      <x:c r="R61" s="83"/>
    </x:row>
    <x:row r="62" ht="15.75" customHeight="1">
      <x:c r="A62" s="82"/>
      <x:c r="B62" s="4"/>
      <x:c r="C62" s="4"/>
      <x:c r="D62" s="4"/>
      <x:c r="E62" s="4"/>
      <x:c r="F62" s="83"/>
      <x:c r="G62" s="82"/>
      <x:c r="H62" s="4"/>
      <x:c r="I62" s="4"/>
      <x:c r="J62" s="4"/>
      <x:c r="K62" s="4"/>
      <x:c r="L62" s="83"/>
      <x:c r="M62" s="82"/>
      <x:c r="N62" s="4"/>
      <x:c r="O62" s="4"/>
      <x:c r="P62" s="4"/>
      <x:c r="Q62" s="4"/>
      <x:c r="R62" s="83"/>
      <x:c r="U62" t="str">
        <x:v>날짜</x:v>
      </x:c>
      <x:c r="V62" t="str">
        <x:v>팀 인원</x:v>
      </x:c>
      <x:c r="W62" t="str">
        <x:v>교구 평균</x:v>
      </x:c>
    </x:row>
    <x:row r="63" ht="15.75" customHeight="1">
      <x:c r="A63" s="82"/>
      <x:c r="B63" s="4"/>
      <x:c r="C63" s="4"/>
      <x:c r="D63" s="4"/>
      <x:c r="E63" s="4"/>
      <x:c r="F63" s="83"/>
      <x:c r="G63" s="82"/>
      <x:c r="H63" s="4"/>
      <x:c r="I63" s="4"/>
      <x:c r="J63" s="4"/>
      <x:c r="K63" s="4"/>
      <x:c r="L63" s="83"/>
      <x:c r="M63" s="82"/>
      <x:c r="N63" s="4"/>
      <x:c r="O63" s="4"/>
      <x:c r="P63" s="4"/>
      <x:c r="Q63" s="4"/>
      <x:c r="R63" s="83"/>
      <x:c r="U63" t="str">
        <x:v>8/15</x:v>
      </x:c>
      <x:c r="V63" t="n">
        <x:f>'02_전체출석'!D29</x:f>
        <x:v>19</x:v>
      </x:c>
      <x:c r="W63" t="n">
        <x:f>'02_전체출석'!D31/12</x:f>
        <x:v>14.833333333333334</x:v>
      </x:c>
    </x:row>
    <x:row r="64" ht="15.75" customHeight="1">
      <x:c r="A64" s="84"/>
      <x:c r="B64" s="85"/>
      <x:c r="C64" s="85"/>
      <x:c r="D64" s="85"/>
      <x:c r="E64" s="85"/>
      <x:c r="F64" s="86"/>
      <x:c r="G64" s="84"/>
      <x:c r="H64" s="85"/>
      <x:c r="I64" s="85"/>
      <x:c r="J64" s="85"/>
      <x:c r="K64" s="85"/>
      <x:c r="L64" s="86"/>
      <x:c r="M64" s="84"/>
      <x:c r="N64" s="85"/>
      <x:c r="O64" s="85"/>
      <x:c r="P64" s="85"/>
      <x:c r="Q64" s="85"/>
      <x:c r="R64" s="86"/>
      <x:c r="U64" t="str">
        <x:v>8/22</x:v>
      </x:c>
      <x:c r="V64" t="n">
        <x:f>'02_전체출석'!E29</x:f>
        <x:v>10</x:v>
      </x:c>
      <x:c r="W64" t="n">
        <x:f>'02_전체출석'!E31/12</x:f>
        <x:v>15</x:v>
      </x:c>
    </x:row>
    <x:row r="65" ht="15.7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U65" t="str">
        <x:v>8/29</x:v>
      </x:c>
      <x:c r="V65" t="n">
        <x:f>'02_전체출석'!F29</x:f>
        <x:v>12</x:v>
      </x:c>
      <x:c r="W65" t="n">
        <x:f>'02_전체출석'!F31/12</x:f>
        <x:v>15.166666666666666</x:v>
      </x:c>
    </x:row>
    <x:row r="66">
      <x:c r="U66" t="str">
        <x:v>9/5</x:v>
      </x:c>
      <x:c r="V66" t="n">
        <x:f>'02_전체출석'!G29</x:f>
        <x:v>14</x:v>
      </x:c>
      <x:c r="W66" t="n">
        <x:f>'02_전체출석'!G31/12</x:f>
        <x:v>15.833333333333334</x:v>
      </x:c>
    </x:row>
    <x:row r="68">
      <x:c r="U68" t="str">
        <x:v>날짜</x:v>
      </x:c>
      <x:c r="V68" t="str">
        <x:v>팀 인원</x:v>
      </x:c>
      <x:c r="W68" t="str">
        <x:v>교구 평균</x:v>
      </x:c>
    </x:row>
    <x:row r="69">
      <x:c r="U69" t="str">
        <x:v>8/15</x:v>
      </x:c>
      <x:c r="V69" t="n">
        <x:f>'02_전체출석'!D30</x:f>
        <x:v>13</x:v>
      </x:c>
      <x:c r="W69" t="n">
        <x:f>'02_전체출석'!D31/12</x:f>
        <x:v>14.833333333333334</x:v>
      </x:c>
    </x:row>
    <x:row r="70">
      <x:c r="U70" t="str">
        <x:v>8/22</x:v>
      </x:c>
      <x:c r="V70" t="n">
        <x:f>'02_전체출석'!E30</x:f>
        <x:v>15</x:v>
      </x:c>
      <x:c r="W70" t="n">
        <x:f>'02_전체출석'!E31/12</x:f>
        <x:v>15</x:v>
      </x:c>
    </x:row>
    <x:row r="71">
      <x:c r="U71" t="str">
        <x:v>8/29</x:v>
      </x:c>
      <x:c r="V71" t="n">
        <x:f>'02_전체출석'!F30</x:f>
        <x:v>17</x:v>
      </x:c>
      <x:c r="W71" t="n">
        <x:f>'02_전체출석'!F31/12</x:f>
        <x:v>15.166666666666666</x:v>
      </x:c>
    </x:row>
    <x:row r="72">
      <x:c r="U72" t="str">
        <x:v>9/5</x:v>
      </x:c>
      <x:c r="V72" t="n">
        <x:f>'02_전체출석'!G30</x:f>
        <x:v>19</x:v>
      </x:c>
      <x:c r="W72" t="n">
        <x:f>'02_전체출석'!G31/12</x:f>
        <x:v>15.833333333333334</x:v>
      </x:c>
    </x:row>
  </x:sheetData>
  <x:mergeCells>
    <x:mergeCell ref="A1:R2"/>
    <x:mergeCell ref="A3:R3"/>
    <x:mergeCell ref="A5:F5"/>
    <x:mergeCell ref="A6:B7"/>
    <x:mergeCell ref="C6:C7"/>
    <x:mergeCell ref="D6:F6"/>
    <x:mergeCell ref="D7:F7"/>
    <x:mergeCell ref="G5:L5"/>
    <x:mergeCell ref="G6:H7"/>
    <x:mergeCell ref="I6:I7"/>
    <x:mergeCell ref="J6:L6"/>
    <x:mergeCell ref="J7:L7"/>
    <x:mergeCell ref="M5:R5"/>
    <x:mergeCell ref="M6:N7"/>
    <x:mergeCell ref="O6:O7"/>
    <x:mergeCell ref="P6:R6"/>
    <x:mergeCell ref="P7:R7"/>
    <x:mergeCell ref="A20:F20"/>
    <x:mergeCell ref="A21:B22"/>
    <x:mergeCell ref="C21:C22"/>
    <x:mergeCell ref="D21:F21"/>
    <x:mergeCell ref="D22:F22"/>
    <x:mergeCell ref="G20:L20"/>
    <x:mergeCell ref="G21:H22"/>
    <x:mergeCell ref="I21:I22"/>
    <x:mergeCell ref="J21:L21"/>
    <x:mergeCell ref="J22:L22"/>
    <x:mergeCell ref="M20:R20"/>
    <x:mergeCell ref="M21:N22"/>
    <x:mergeCell ref="O21:O22"/>
    <x:mergeCell ref="P21:R21"/>
    <x:mergeCell ref="P22:R22"/>
    <x:mergeCell ref="A35:F35"/>
    <x:mergeCell ref="A36:B37"/>
    <x:mergeCell ref="C36:C37"/>
    <x:mergeCell ref="D36:F36"/>
    <x:mergeCell ref="D37:F37"/>
    <x:mergeCell ref="G35:L35"/>
    <x:mergeCell ref="G36:H37"/>
    <x:mergeCell ref="I36:I37"/>
    <x:mergeCell ref="J36:L36"/>
    <x:mergeCell ref="J37:L37"/>
    <x:mergeCell ref="M35:R35"/>
    <x:mergeCell ref="M36:N37"/>
    <x:mergeCell ref="O36:O37"/>
    <x:mergeCell ref="P36:R36"/>
    <x:mergeCell ref="P37:R37"/>
    <x:mergeCell ref="A50:F50"/>
    <x:mergeCell ref="A51:B52"/>
    <x:mergeCell ref="C51:C52"/>
    <x:mergeCell ref="D51:F51"/>
    <x:mergeCell ref="D52:F52"/>
    <x:mergeCell ref="G50:L50"/>
    <x:mergeCell ref="G51:H52"/>
    <x:mergeCell ref="I51:I52"/>
    <x:mergeCell ref="J51:L51"/>
    <x:mergeCell ref="J52:L52"/>
    <x:mergeCell ref="M50:R50"/>
    <x:mergeCell ref="M51:N52"/>
    <x:mergeCell ref="O51:O52"/>
    <x:mergeCell ref="P51:R51"/>
    <x:mergeCell ref="P52:R52"/>
  </x:mergeCells>
  <x:printOptions horizontalCentered="1"/>
  <x:pageMargins left="0.25" right="0.25" top="0.3" bottom="0.3" header="0.1" footer="0.15"/>
  <x:pageSetup paperSize="9" orientation="portrait" fitToWidth="1" fitToHeight="1"/>
  <x:headerFooter>
    <x:oddFooter>&amp;C3 / 9</x:oddFooter>
  </x:headerFooter>
  <x:drawing xmlns:r="http://schemas.openxmlformats.org/officeDocument/2006/relationships" r:id="R85409f7f29804f7b"/>
</x:worksheet>
</file>

<file path=xl/worksheets/sheet4.xml><?xml version="1.0" encoding="utf-8"?>
<x:worksheet xmlns:x="http://schemas.openxmlformats.org/spreadsheetml/2006/main">
  <x:sheetPr>
    <x:tabColor rgb="FF657567"/>
    <x:pageSetUpPr fitToPage="1"/>
  </x:sheetPr>
  <x:sheetViews>
    <x:sheetView showGridLines="0" workbookViewId="0"/>
  </x:sheetViews>
  <x:sheetFormatPr defaultRowHeight="15"/>
  <x:cols>
    <x:col min="1" max="1" width="8.329999923706055" hidden="0" customWidth="1"/>
    <x:col min="2" max="2" width="8.329999923706055" hidden="0" customWidth="1"/>
    <x:col min="3" max="3" width="8.670000076293945" hidden="0" customWidth="1"/>
    <x:col min="4" max="4" width="2.440000057220459" hidden="0" customWidth="1"/>
    <x:col min="5" max="5" width="6.329999923706055" hidden="0" customWidth="1"/>
    <x:col min="6" max="6" width="8.329999923706055" hidden="0" customWidth="1"/>
    <x:col min="7" max="7" width="14.220000267028809" hidden="0" customWidth="1"/>
    <x:col min="8" max="8" width="10.890000343322754" hidden="0" customWidth="1"/>
    <x:col min="9" max="9" width="12.890000343322754" hidden="0" customWidth="1"/>
    <x:col min="10" max="10" width="6.440000057220459" hidden="0" customWidth="1"/>
    <x:col min="11" max="11" width="14.670000076293945" hidden="0" customWidth="1"/>
    <x:col min="12" max="12" width="5.889999866485596" hidden="0" customWidth="1"/>
    <x:col min="13" max="13" width="14.670000076293945" hidden="0" customWidth="1"/>
    <x:col min="14" max="14" width="5.889999866485596" hidden="0" customWidth="1"/>
    <x:col min="15" max="15" width="15.109999656677246" hidden="0" customWidth="1"/>
    <x:col min="16" max="16" width="5.889999866485596" hidden="0" customWidth="1"/>
  </x:cols>
  <x:sheetData>
    <x:row r="1" ht="21.75" customHeight="1">
      <x:c r="A1" s="51" t="str">
        <x:v>2교구 인원 수합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</x:row>
    <x:row r="2" ht="21.75" customHeight="1">
      <x:c r="A2" s="18" t="str">
        <x:v>2026.09.05 · 디자인 검토용 가상 데이터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</x:row>
    <x:row r="3" ht="21.7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1.75" customHeight="1">
      <x:c r="A4" s="62" t="str">
        <x:v>지난주 대비 인원 파악</x:v>
      </x:c>
      <x:c r="B4" s="62"/>
      <x:c r="C4" s="62"/>
      <x:c r="D4" s="4"/>
      <x:c r="E4" s="62" t="str">
        <x:v>2교구 인원 수합</x:v>
      </x:c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</x:row>
    <x:row r="5" ht="21.75" customHeight="1">
      <x:c r="A5" s="63" t="str">
        <x:v>지난주 인원</x:v>
      </x:c>
      <x:c r="B5" s="63" t="str">
        <x:v>이번주 인원</x:v>
      </x:c>
      <x:c r="C5" s="63" t="str">
        <x:v>지난주 대비</x:v>
      </x:c>
      <x:c r="D5" s="54"/>
      <x:c r="E5" s="63" t="str">
        <x:v>2교구</x:v>
      </x:c>
      <x:c r="F5" s="63" t="str">
        <x:v>현장 출석</x:v>
      </x:c>
      <x:c r="G5" s="63" t="str">
        <x:v>래사랑</x:v>
      </x:c>
      <x:c r="H5" s="63" t="str">
        <x:v>방문자</x:v>
      </x:c>
      <x:c r="I5" s="63" t="str">
        <x:v>등반자 명단</x:v>
      </x:c>
      <x:c r="J5" s="63" t="str">
        <x:v>총원</x:v>
      </x:c>
      <x:c r="K5" s="63" t="str">
        <x:v>45기 명단</x:v>
      </x:c>
      <x:c r="L5" s="63" t="str">
        <x:v>총원</x:v>
      </x:c>
      <x:c r="M5" s="63" t="str">
        <x:v>46기 명단</x:v>
      </x:c>
      <x:c r="N5" s="63" t="str">
        <x:v>총원</x:v>
      </x:c>
      <x:c r="O5" s="63" t="str">
        <x:v>새가족 명단</x:v>
      </x:c>
      <x:c r="P5" s="63" t="str">
        <x:v>총원</x:v>
      </x:c>
    </x:row>
    <x:row r="6" ht="34.5" customHeight="1">
      <x:c r="A6" s="64" t="n">
        <x:f>'02_전체출석'!F19</x:f>
        <x:v>17</x:v>
      </x:c>
      <x:c r="B6" s="64" t="n">
        <x:f>'02_전체출석'!G19</x:f>
        <x:v>21</x:v>
      </x:c>
      <x:c r="C6" s="64" t="n">
        <x:f>B6-A6</x:f>
        <x:v>4</x:v>
      </x:c>
      <x:c r="D6" s="59"/>
      <x:c r="E6" s="64" t="str">
        <x:v>1팀</x:v>
      </x:c>
      <x:c r="F6" s="64" t="n">
        <x:f>B6</x:f>
        <x:v>21</x:v>
      </x:c>
      <x:c r="G6" s="65" t="str">
        <x:v>가상래사랑1</x:v>
      </x:c>
      <x:c r="H6" s="64"/>
      <x:c r="I6" s="64" t="str">
        <x:v>가상등반1</x:v>
      </x:c>
      <x:c r="J6" s="64" t="n">
        <x:f>COUNTA(G6:I6)</x:f>
        <x:v>2</x:v>
      </x:c>
      <x:c r="K6" s="64" t="str">
        <x:v>가상452011</x:v>
      </x:c>
      <x:c r="L6" s="64" t="n">
        <x:f>'06_45기추이'!G19</x:f>
        <x:v>1</x:v>
      </x:c>
      <x:c r="M6" s="64" t="str">
        <x:v>가상462011
가상462012</x:v>
      </x:c>
      <x:c r="N6" s="64" t="n">
        <x:f>'08_46기추이'!G19</x:f>
        <x:v>2</x:v>
      </x:c>
      <x:c r="O6" s="66" t="str">
        <x:v>가상신규11</x:v>
      </x:c>
      <x:c r="P6" s="66" t="n">
        <x:v>1</x:v>
      </x:c>
    </x:row>
    <x:row r="7" ht="34.5" customHeight="1">
      <x:c r="A7" s="64" t="n">
        <x:f>'02_전체출석'!F20</x:f>
        <x:v>11</x:v>
      </x:c>
      <x:c r="B7" s="64" t="n">
        <x:f>'02_전체출석'!G20</x:f>
        <x:v>13</x:v>
      </x:c>
      <x:c r="C7" s="64" t="n">
        <x:f>B7-A7</x:f>
        <x:v>2</x:v>
      </x:c>
      <x:c r="D7" s="59"/>
      <x:c r="E7" s="64" t="str">
        <x:v>2팀</x:v>
      </x:c>
      <x:c r="F7" s="64" t="n">
        <x:f>B7</x:f>
        <x:v>13</x:v>
      </x:c>
      <x:c r="G7" s="64"/>
      <x:c r="H7" s="64"/>
      <x:c r="I7" s="64"/>
      <x:c r="J7" s="64" t="n">
        <x:f>COUNTA(G7:I7)</x:f>
        <x:v>0</x:v>
      </x:c>
      <x:c r="K7" s="64" t="str">
        <x:v>가상452021
가상452022</x:v>
      </x:c>
      <x:c r="L7" s="64" t="n">
        <x:f>'06_45기추이'!G20</x:f>
        <x:v>2</x:v>
      </x:c>
      <x:c r="M7" s="64" t="str">
        <x:v>가상462021
가상462022
가상462023</x:v>
      </x:c>
      <x:c r="N7" s="64" t="n">
        <x:f>'08_46기추이'!G20</x:f>
        <x:v>3</x:v>
      </x:c>
      <x:c r="O7" s="66" t="str">
        <x:v>가상신규21</x:v>
      </x:c>
      <x:c r="P7" s="66" t="n">
        <x:v>1</x:v>
      </x:c>
    </x:row>
    <x:row r="8" ht="34.5" customHeight="1">
      <x:c r="A8" s="64" t="n">
        <x:f>'02_전체출석'!F21</x:f>
        <x:v>16</x:v>
      </x:c>
      <x:c r="B8" s="64" t="n">
        <x:f>'02_전체출석'!G21</x:f>
        <x:v>18</x:v>
      </x:c>
      <x:c r="C8" s="64" t="n">
        <x:f>B8-A8</x:f>
        <x:v>2</x:v>
      </x:c>
      <x:c r="D8" s="59"/>
      <x:c r="E8" s="64" t="str">
        <x:v>3팀</x:v>
      </x:c>
      <x:c r="F8" s="64" t="n">
        <x:f>B8</x:f>
        <x:v>18</x:v>
      </x:c>
      <x:c r="G8" s="64"/>
      <x:c r="H8" s="64"/>
      <x:c r="I8" s="64"/>
      <x:c r="J8" s="64" t="n">
        <x:f>COUNTA(G8:I8)</x:f>
        <x:v>0</x:v>
      </x:c>
      <x:c r="K8" s="64" t="str">
        <x:v>가상452031
가상452032
가상452033</x:v>
      </x:c>
      <x:c r="L8" s="64" t="n">
        <x:f>'06_45기추이'!G21</x:f>
        <x:v>3</x:v>
      </x:c>
      <x:c r="M8" s="64" t="str"/>
      <x:c r="N8" s="64" t="n">
        <x:f>'08_46기추이'!G21</x:f>
        <x:v>0</x:v>
      </x:c>
      <x:c r="O8" s="64" t="str"/>
      <x:c r="P8" s="64" t="n">
        <x:v>0</x:v>
      </x:c>
    </x:row>
    <x:row r="9" ht="34.5" customHeight="1">
      <x:c r="A9" s="64" t="n">
        <x:f>'02_전체출석'!F22</x:f>
        <x:v>10</x:v>
      </x:c>
      <x:c r="B9" s="64" t="n">
        <x:f>'02_전체출석'!G22</x:f>
        <x:v>12</x:v>
      </x:c>
      <x:c r="C9" s="64" t="n">
        <x:f>B9-A9</x:f>
        <x:v>2</x:v>
      </x:c>
      <x:c r="D9" s="59"/>
      <x:c r="E9" s="64" t="str">
        <x:v>4팀</x:v>
      </x:c>
      <x:c r="F9" s="64" t="n">
        <x:f>B9</x:f>
        <x:v>12</x:v>
      </x:c>
      <x:c r="G9" s="64"/>
      <x:c r="H9" s="64"/>
      <x:c r="I9" s="64"/>
      <x:c r="J9" s="64" t="n">
        <x:f>COUNTA(G9:I9)</x:f>
        <x:v>0</x:v>
      </x:c>
      <x:c r="K9" s="64" t="str"/>
      <x:c r="L9" s="64" t="n">
        <x:f>'06_45기추이'!G22</x:f>
        <x:v>0</x:v>
      </x:c>
      <x:c r="M9" s="64" t="str">
        <x:v>가상462041</x:v>
      </x:c>
      <x:c r="N9" s="64" t="n">
        <x:f>'08_46기추이'!G22</x:f>
        <x:v>1</x:v>
      </x:c>
      <x:c r="O9" s="64" t="str"/>
      <x:c r="P9" s="64" t="n">
        <x:v>0</x:v>
      </x:c>
    </x:row>
    <x:row r="10" ht="34.5" customHeight="1">
      <x:c r="A10" s="64" t="n">
        <x:f>'02_전체출석'!F23</x:f>
        <x:v>15</x:v>
      </x:c>
      <x:c r="B10" s="64" t="n">
        <x:f>'02_전체출석'!G23</x:f>
        <x:v>19</x:v>
      </x:c>
      <x:c r="C10" s="64" t="n">
        <x:f>B10-A10</x:f>
        <x:v>4</x:v>
      </x:c>
      <x:c r="D10" s="59"/>
      <x:c r="E10" s="64" t="str">
        <x:v>5팀</x:v>
      </x:c>
      <x:c r="F10" s="64" t="n">
        <x:f>B10</x:f>
        <x:v>19</x:v>
      </x:c>
      <x:c r="G10" s="64"/>
      <x:c r="H10" s="64"/>
      <x:c r="I10" s="64"/>
      <x:c r="J10" s="64" t="n">
        <x:f>COUNTA(G10:I10)</x:f>
        <x:v>0</x:v>
      </x:c>
      <x:c r="K10" s="64" t="str">
        <x:v>가상452051</x:v>
      </x:c>
      <x:c r="L10" s="64" t="n">
        <x:f>'06_45기추이'!G23</x:f>
        <x:v>1</x:v>
      </x:c>
      <x:c r="M10" s="64" t="str">
        <x:v>가상462051
가상462052</x:v>
      </x:c>
      <x:c r="N10" s="64" t="n">
        <x:f>'08_46기추이'!G23</x:f>
        <x:v>2</x:v>
      </x:c>
      <x:c r="O10" s="64" t="str"/>
      <x:c r="P10" s="64" t="n">
        <x:v>0</x:v>
      </x:c>
    </x:row>
    <x:row r="11" ht="34.5" customHeight="1">
      <x:c r="A11" s="64" t="n">
        <x:f>'02_전체출석'!F24</x:f>
        <x:v>20</x:v>
      </x:c>
      <x:c r="B11" s="64" t="n">
        <x:f>'02_전체출석'!G24</x:f>
        <x:v>11</x:v>
      </x:c>
      <x:c r="C11" s="64" t="n">
        <x:f>B11-A11</x:f>
        <x:v>-9</x:v>
      </x:c>
      <x:c r="D11" s="59"/>
      <x:c r="E11" s="64" t="str">
        <x:v>6팀</x:v>
      </x:c>
      <x:c r="F11" s="64" t="n">
        <x:f>B11</x:f>
        <x:v>11</x:v>
      </x:c>
      <x:c r="G11" s="65" t="str">
        <x:v>가상래사랑6</x:v>
      </x:c>
      <x:c r="H11" s="64"/>
      <x:c r="I11" s="64"/>
      <x:c r="J11" s="64" t="n">
        <x:f>COUNTA(G11:I11)</x:f>
        <x:v>1</x:v>
      </x:c>
      <x:c r="K11" s="64" t="str">
        <x:v>가상452061
가상452062</x:v>
      </x:c>
      <x:c r="L11" s="64" t="n">
        <x:f>'06_45기추이'!G24</x:f>
        <x:v>2</x:v>
      </x:c>
      <x:c r="M11" s="64" t="str">
        <x:v>가상462061
가상462062
가상462063</x:v>
      </x:c>
      <x:c r="N11" s="64" t="n">
        <x:f>'08_46기추이'!G24</x:f>
        <x:v>3</x:v>
      </x:c>
      <x:c r="O11" s="66" t="str">
        <x:v>가상신규61</x:v>
      </x:c>
      <x:c r="P11" s="66" t="n">
        <x:v>1</x:v>
      </x:c>
    </x:row>
    <x:row r="12" ht="34.5" customHeight="1">
      <x:c r="A12" s="64" t="n">
        <x:f>'02_전체출석'!F25</x:f>
        <x:v>14</x:v>
      </x:c>
      <x:c r="B12" s="64" t="n">
        <x:f>'02_전체출석'!G25</x:f>
        <x:v>16</x:v>
      </x:c>
      <x:c r="C12" s="64" t="n">
        <x:f>B12-A12</x:f>
        <x:v>2</x:v>
      </x:c>
      <x:c r="D12" s="59"/>
      <x:c r="E12" s="64" t="str">
        <x:v>7팀</x:v>
      </x:c>
      <x:c r="F12" s="64" t="n">
        <x:f>B12</x:f>
        <x:v>16</x:v>
      </x:c>
      <x:c r="G12" s="64"/>
      <x:c r="H12" s="64"/>
      <x:c r="I12" s="64"/>
      <x:c r="J12" s="64" t="n">
        <x:f>COUNTA(G12:I12)</x:f>
        <x:v>0</x:v>
      </x:c>
      <x:c r="K12" s="64" t="str">
        <x:v>가상452071
가상452072
가상452073</x:v>
      </x:c>
      <x:c r="L12" s="64" t="n">
        <x:f>'06_45기추이'!G25</x:f>
        <x:v>3</x:v>
      </x:c>
      <x:c r="M12" s="64" t="str"/>
      <x:c r="N12" s="64" t="n">
        <x:f>'08_46기추이'!G25</x:f>
        <x:v>0</x:v>
      </x:c>
      <x:c r="O12" s="66" t="str">
        <x:v>가상신규71</x:v>
      </x:c>
      <x:c r="P12" s="66" t="n">
        <x:v>1</x:v>
      </x:c>
    </x:row>
    <x:row r="13" ht="34.5" customHeight="1">
      <x:c r="A13" s="64" t="n">
        <x:f>'02_전체출석'!F26</x:f>
        <x:v>19</x:v>
      </x:c>
      <x:c r="B13" s="64" t="n">
        <x:f>'02_전체출석'!G26</x:f>
        <x:v>10</x:v>
      </x:c>
      <x:c r="C13" s="64" t="n">
        <x:f>B13-A13</x:f>
        <x:v>-9</x:v>
      </x:c>
      <x:c r="D13" s="59"/>
      <x:c r="E13" s="64" t="str">
        <x:v>8팀</x:v>
      </x:c>
      <x:c r="F13" s="64" t="n">
        <x:f>B13</x:f>
        <x:v>10</x:v>
      </x:c>
      <x:c r="G13" s="64"/>
      <x:c r="H13" s="64"/>
      <x:c r="I13" s="64" t="str">
        <x:v>가상등반8</x:v>
      </x:c>
      <x:c r="J13" s="64" t="n">
        <x:f>COUNTA(G13:I13)</x:f>
        <x:v>1</x:v>
      </x:c>
      <x:c r="K13" s="64" t="str"/>
      <x:c r="L13" s="64" t="n">
        <x:f>'06_45기추이'!G26</x:f>
        <x:v>0</x:v>
      </x:c>
      <x:c r="M13" s="64" t="str">
        <x:v>가상462081</x:v>
      </x:c>
      <x:c r="N13" s="64" t="n">
        <x:f>'08_46기추이'!G26</x:f>
        <x:v>1</x:v>
      </x:c>
      <x:c r="O13" s="66" t="str">
        <x:v>가상신규81</x:v>
      </x:c>
      <x:c r="P13" s="66" t="n">
        <x:v>1</x:v>
      </x:c>
    </x:row>
    <x:row r="14" ht="34.5" customHeight="1">
      <x:c r="A14" s="64" t="n">
        <x:f>'02_전체출석'!F27</x:f>
        <x:v>13</x:v>
      </x:c>
      <x:c r="B14" s="64" t="n">
        <x:f>'02_전체출석'!G27</x:f>
        <x:v>17</x:v>
      </x:c>
      <x:c r="C14" s="64" t="n">
        <x:f>B14-A14</x:f>
        <x:v>4</x:v>
      </x:c>
      <x:c r="D14" s="59"/>
      <x:c r="E14" s="64" t="str">
        <x:v>9팀</x:v>
      </x:c>
      <x:c r="F14" s="64" t="n">
        <x:f>B14</x:f>
        <x:v>17</x:v>
      </x:c>
      <x:c r="G14" s="64"/>
      <x:c r="H14" s="64"/>
      <x:c r="I14" s="64"/>
      <x:c r="J14" s="64" t="n">
        <x:f>COUNTA(G14:I14)</x:f>
        <x:v>0</x:v>
      </x:c>
      <x:c r="K14" s="64" t="str">
        <x:v>가상452091</x:v>
      </x:c>
      <x:c r="L14" s="64" t="n">
        <x:f>'06_45기추이'!G27</x:f>
        <x:v>1</x:v>
      </x:c>
      <x:c r="M14" s="64" t="str">
        <x:v>가상462091
가상462092</x:v>
      </x:c>
      <x:c r="N14" s="64" t="n">
        <x:f>'08_46기추이'!G27</x:f>
        <x:v>2</x:v>
      </x:c>
      <x:c r="O14" s="64" t="str"/>
      <x:c r="P14" s="64" t="n">
        <x:v>0</x:v>
      </x:c>
    </x:row>
    <x:row r="15" ht="34.5" customHeight="1">
      <x:c r="A15" s="64" t="n">
        <x:f>'02_전체출석'!F28</x:f>
        <x:v>18</x:v>
      </x:c>
      <x:c r="B15" s="64" t="n">
        <x:f>'02_전체출석'!G28</x:f>
        <x:v>20</x:v>
      </x:c>
      <x:c r="C15" s="64" t="n">
        <x:f>B15-A15</x:f>
        <x:v>2</x:v>
      </x:c>
      <x:c r="D15" s="59"/>
      <x:c r="E15" s="64" t="str">
        <x:v>10팀</x:v>
      </x:c>
      <x:c r="F15" s="64" t="n">
        <x:f>B15</x:f>
        <x:v>20</x:v>
      </x:c>
      <x:c r="G15" s="64"/>
      <x:c r="H15" s="64"/>
      <x:c r="I15" s="64"/>
      <x:c r="J15" s="64" t="n">
        <x:f>COUNTA(G15:I15)</x:f>
        <x:v>0</x:v>
      </x:c>
      <x:c r="K15" s="64" t="str">
        <x:v>가상452101
가상452102</x:v>
      </x:c>
      <x:c r="L15" s="64" t="n">
        <x:f>'06_45기추이'!G28</x:f>
        <x:v>2</x:v>
      </x:c>
      <x:c r="M15" s="64" t="str">
        <x:v>가상462101
가상462102
가상462103</x:v>
      </x:c>
      <x:c r="N15" s="64" t="n">
        <x:f>'08_46기추이'!G28</x:f>
        <x:v>3</x:v>
      </x:c>
      <x:c r="O15" s="64" t="str"/>
      <x:c r="P15" s="64" t="n">
        <x:v>0</x:v>
      </x:c>
    </x:row>
    <x:row r="16" ht="34.5" customHeight="1">
      <x:c r="A16" s="64" t="n">
        <x:f>'02_전체출석'!F29</x:f>
        <x:v>12</x:v>
      </x:c>
      <x:c r="B16" s="64" t="n">
        <x:f>'02_전체출석'!G29</x:f>
        <x:v>14</x:v>
      </x:c>
      <x:c r="C16" s="64" t="n">
        <x:f>B16-A16</x:f>
        <x:v>2</x:v>
      </x:c>
      <x:c r="D16" s="59"/>
      <x:c r="E16" s="64" t="str">
        <x:v>11팀</x:v>
      </x:c>
      <x:c r="F16" s="64" t="n">
        <x:f>B16</x:f>
        <x:v>14</x:v>
      </x:c>
      <x:c r="G16" s="65" t="str">
        <x:v>가상래사랑11</x:v>
      </x:c>
      <x:c r="H16" s="64"/>
      <x:c r="I16" s="64"/>
      <x:c r="J16" s="64" t="n">
        <x:f>COUNTA(G16:I16)</x:f>
        <x:v>1</x:v>
      </x:c>
      <x:c r="K16" s="64" t="str">
        <x:v>가상452111
가상452112
가상452113</x:v>
      </x:c>
      <x:c r="L16" s="64" t="n">
        <x:f>'06_45기추이'!G29</x:f>
        <x:v>3</x:v>
      </x:c>
      <x:c r="M16" s="64" t="str"/>
      <x:c r="N16" s="64" t="n">
        <x:f>'08_46기추이'!G29</x:f>
        <x:v>0</x:v>
      </x:c>
      <x:c r="O16" s="64" t="str"/>
      <x:c r="P16" s="64" t="n">
        <x:v>0</x:v>
      </x:c>
    </x:row>
    <x:row r="17" ht="34.5" customHeight="1">
      <x:c r="A17" s="64" t="n">
        <x:f>'02_전체출석'!F30</x:f>
        <x:v>17</x:v>
      </x:c>
      <x:c r="B17" s="64" t="n">
        <x:f>'02_전체출석'!G30</x:f>
        <x:v>19</x:v>
      </x:c>
      <x:c r="C17" s="64" t="n">
        <x:f>B17-A17</x:f>
        <x:v>2</x:v>
      </x:c>
      <x:c r="D17" s="59"/>
      <x:c r="E17" s="64" t="str">
        <x:v>12팀</x:v>
      </x:c>
      <x:c r="F17" s="64" t="n">
        <x:f>B17</x:f>
        <x:v>19</x:v>
      </x:c>
      <x:c r="G17" s="64"/>
      <x:c r="H17" s="64"/>
      <x:c r="I17" s="64"/>
      <x:c r="J17" s="64" t="n">
        <x:f>COUNTA(G17:I17)</x:f>
        <x:v>0</x:v>
      </x:c>
      <x:c r="K17" s="64" t="str"/>
      <x:c r="L17" s="64" t="n">
        <x:f>'06_45기추이'!G30</x:f>
        <x:v>0</x:v>
      </x:c>
      <x:c r="M17" s="64" t="str">
        <x:v>가상462121</x:v>
      </x:c>
      <x:c r="N17" s="64" t="n">
        <x:f>'08_46기추이'!G30</x:f>
        <x:v>1</x:v>
      </x:c>
      <x:c r="O17" s="64" t="str"/>
      <x:c r="P17" s="64" t="n">
        <x:v>0</x:v>
      </x:c>
    </x:row>
    <x:row r="18" ht="21.75" customHeight="1">
      <x:c r="A18" s="30" t="n">
        <x:f>SUM(A6:A17)</x:f>
        <x:v>182</x:v>
      </x:c>
      <x:c r="B18" s="30" t="n">
        <x:f>SUM(B6:B17)</x:f>
        <x:v>190</x:v>
      </x:c>
      <x:c r="C18" s="30" t="n">
        <x:f>SUM(C6:C17)</x:f>
        <x:v>8</x:v>
      </x:c>
      <x:c r="D18" s="4"/>
      <x:c r="E18" s="30" t="str">
        <x:v>총합</x:v>
      </x:c>
      <x:c r="F18" s="30" t="n">
        <x:f>SUM(F6:F17)</x:f>
        <x:v>190</x:v>
      </x:c>
      <x:c r="G18" s="30"/>
      <x:c r="H18" s="30"/>
      <x:c r="I18" s="30"/>
      <x:c r="J18" s="30" t="n">
        <x:f>SUM(J6:J17)</x:f>
        <x:v>5</x:v>
      </x:c>
      <x:c r="K18" s="30"/>
      <x:c r="L18" s="30" t="n">
        <x:f>SUM(L6:L17)</x:f>
        <x:v>18</x:v>
      </x:c>
      <x:c r="M18" s="30"/>
      <x:c r="N18" s="30" t="n">
        <x:f>SUM(N6:N17)</x:f>
        <x:v>18</x:v>
      </x:c>
      <x:c r="O18" s="30"/>
      <x:c r="P18" s="30" t="n">
        <x:f>SUM(P6:P17)</x:f>
        <x:v>5</x:v>
      </x:c>
    </x:row>
    <x:row r="19" ht="21.75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</x:row>
    <x:row r="20" ht="21.75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</x:row>
  </x:sheetData>
  <x:mergeCells>
    <x:mergeCell ref="A1:P1"/>
    <x:mergeCell ref="A2:P2"/>
    <x:mergeCell ref="A4:C4"/>
    <x:mergeCell ref="E4:P4"/>
  </x:mergeCells>
  <x:conditionalFormatting sqref="C6:C18">
    <x:cfRule type="cellIs" dxfId="24" priority="1" operator="greaterThan">
      <x:formula>0</x:formula>
    </x:cfRule>
    <x:cfRule type="cellIs" dxfId="25" priority="2" operator="lessThan">
      <x:formula>0</x:formula>
    </x:cfRule>
  </x:conditionalFormatting>
  <x:printOptions horizontalCentered="1"/>
  <x:pageMargins left="0.25" right="0.25" top="0.3" bottom="0.3" header="0.1" footer="0.15"/>
  <x:pageSetup paperSize="8" orientation="landscape" fitToWidth="1" fitToHeight="1"/>
  <x:headerFooter>
    <x:oddFooter>&amp;C4 / 9</x:oddFooter>
  </x:headerFooter>
</x:worksheet>
</file>

<file path=xl/worksheets/sheet5.xml><?xml version="1.0" encoding="utf-8"?>
<x:worksheet xmlns:x="http://schemas.openxmlformats.org/spreadsheetml/2006/main">
  <x:sheetPr>
    <x:tabColor rgb="FF657567"/>
    <x:pageSetUpPr fitToPage="1"/>
  </x:sheetPr>
  <x:sheetViews>
    <x:sheetView showGridLines="0" workbookViewId="0"/>
  </x:sheetViews>
  <x:sheetFormatPr defaultRowHeight="15"/>
  <x:cols>
    <x:col min="1" max="1" width="12.890000343322754" hidden="0" customWidth="1"/>
    <x:col min="2" max="2" width="11.109999656677246" hidden="0" customWidth="1"/>
    <x:col min="3" max="3" width="11.109999656677246" hidden="0" customWidth="1"/>
    <x:col min="4" max="4" width="11.109999656677246" hidden="0" customWidth="1"/>
    <x:col min="5" max="5" width="11.109999656677246" hidden="0" customWidth="1"/>
    <x:col min="6" max="6" width="11.109999656677246" hidden="0" customWidth="1"/>
    <x:col min="7" max="7" width="11.109999656677246" hidden="0" customWidth="1"/>
  </x:cols>
  <x:sheetData>
    <x:row r="1" ht="17.25" customHeight="1">
      <x:c r="A1" s="10" t="n">
        <x:v>46270</x:v>
      </x:c>
      <x:c r="B1" s="11"/>
      <x:c r="C1" s="11"/>
      <x:c r="D1" s="12" t="str">
        <x:v>NEWSONG J 대학부 45기 명단</x:v>
      </x:c>
      <x:c r="E1" s="12"/>
      <x:c r="F1" s="12"/>
      <x:c r="G1" s="13"/>
    </x:row>
    <x:row r="2" ht="17.25" customHeight="1">
      <x:c r="A2" s="14"/>
      <x:c r="B2" s="15"/>
      <x:c r="C2" s="15"/>
      <x:c r="D2" s="16"/>
      <x:c r="E2" s="16"/>
      <x:c r="F2" s="16"/>
      <x:c r="G2" s="17"/>
    </x:row>
    <x:row r="3" ht="17.25" customHeight="1">
      <x:c r="A3" s="19" t="str">
        <x:v>디자인 검토용 · 모든 숫자와 명단은 가상 데이터</x:v>
      </x:c>
      <x:c r="B3" s="19"/>
      <x:c r="C3" s="19"/>
      <x:c r="D3" s="19"/>
      <x:c r="E3" s="19"/>
      <x:c r="F3" s="19"/>
      <x:c r="G3" s="19"/>
    </x:row>
    <x:row r="4" ht="17.25" customHeight="1">
      <x:c r="A4" s="4"/>
      <x:c r="B4" s="4"/>
      <x:c r="C4" s="4"/>
      <x:c r="D4" s="4"/>
      <x:c r="E4" s="4"/>
      <x:c r="F4" s="4"/>
      <x:c r="G4" s="4"/>
    </x:row>
    <x:row r="5" ht="17.25" customHeight="1">
      <x:c r="A5" s="23" t="str">
        <x:v>인원 통계</x:v>
      </x:c>
      <x:c r="B5" s="23" t="str">
        <x:v>총계</x:v>
      </x:c>
      <x:c r="C5" s="23" t="str">
        <x:v>1교구</x:v>
      </x:c>
      <x:c r="D5" s="23" t="str">
        <x:v>2교구</x:v>
      </x:c>
      <x:c r="E5" s="23" t="str">
        <x:v>3교구</x:v>
      </x:c>
      <x:c r="F5" s="42" t="str">
        <x:v>출석 명단</x:v>
      </x:c>
      <x:c r="G5" s="42"/>
    </x:row>
    <x:row r="6" ht="17.25" customHeight="1">
      <x:c r="A6" s="23"/>
      <x:c r="B6" s="26" t="n">
        <x:f>SUM(C6:E6)</x:f>
        <x:v>54</x:v>
      </x:c>
      <x:c r="C6" s="26" t="n">
        <x:f>SUM(B16:G16,B25:G25)</x:f>
        <x:v>18</x:v>
      </x:c>
      <x:c r="D6" s="26" t="n">
        <x:f>SUM(B34:G34,B43:G43)</x:f>
        <x:v>18</x:v>
      </x:c>
      <x:c r="E6" s="26" t="n">
        <x:f>SUM(B52:G52,B61:G61)</x:f>
        <x:v>18</x:v>
      </x:c>
      <x:c r="F6" s="42"/>
      <x:c r="G6" s="42"/>
    </x:row>
    <x:row r="7" ht="17.25" customHeight="1">
      <x:c r="A7" s="4"/>
      <x:c r="B7" s="4"/>
      <x:c r="C7" s="4"/>
      <x:c r="D7" s="4"/>
      <x:c r="E7" s="4"/>
      <x:c r="F7" s="4"/>
      <x:c r="G7" s="4"/>
    </x:row>
    <x:row r="8" ht="17.25" customHeight="1">
      <x:c r="A8" s="23" t="str">
        <x:v>교구</x:v>
      </x:c>
      <x:c r="B8" s="23" t="str">
        <x:v>1팀</x:v>
      </x:c>
      <x:c r="C8" s="23" t="str">
        <x:v>2팀</x:v>
      </x:c>
      <x:c r="D8" s="23" t="str">
        <x:v>3팀</x:v>
      </x:c>
      <x:c r="E8" s="23" t="str">
        <x:v>4팀</x:v>
      </x:c>
      <x:c r="F8" s="23" t="str">
        <x:v>5팀</x:v>
      </x:c>
      <x:c r="G8" s="23" t="str">
        <x:v>6팀</x:v>
      </x:c>
    </x:row>
    <x:row r="9" ht="17.25" customHeight="1">
      <x:c r="A9" s="25" t="str">
        <x:v>1교구
담당1
목사님</x:v>
      </x:c>
      <x:c r="B9" s="26"/>
      <x:c r="C9" s="26" t="str">
        <x:v>가상451021</x:v>
      </x:c>
      <x:c r="D9" s="26" t="str">
        <x:v>가상451031</x:v>
      </x:c>
      <x:c r="E9" s="26" t="str">
        <x:v>가상451041</x:v>
      </x:c>
      <x:c r="F9" s="26"/>
      <x:c r="G9" s="26" t="str">
        <x:v>가상451061</x:v>
      </x:c>
    </x:row>
    <x:row r="10" ht="17.25" customHeight="1">
      <x:c r="A10" s="25"/>
      <x:c r="B10" s="26"/>
      <x:c r="C10" s="26"/>
      <x:c r="D10" s="26" t="str">
        <x:v>가상451032</x:v>
      </x:c>
      <x:c r="E10" s="26" t="str">
        <x:v>가상451042</x:v>
      </x:c>
      <x:c r="F10" s="26"/>
      <x:c r="G10" s="26"/>
    </x:row>
    <x:row r="11" ht="17.25" customHeight="1">
      <x:c r="A11" s="25"/>
      <x:c r="B11" s="26"/>
      <x:c r="C11" s="26"/>
      <x:c r="D11" s="26"/>
      <x:c r="E11" s="26" t="str">
        <x:v>가상451043</x:v>
      </x:c>
      <x:c r="F11" s="26"/>
      <x:c r="G11" s="26"/>
    </x:row>
    <x:row r="12" ht="17.25" customHeight="1">
      <x:c r="A12" s="25"/>
      <x:c r="B12" s="26"/>
      <x:c r="C12" s="26"/>
      <x:c r="D12" s="26"/>
      <x:c r="E12" s="26"/>
      <x:c r="F12" s="26"/>
      <x:c r="G12" s="26"/>
    </x:row>
    <x:row r="13" ht="17.25" customHeight="1">
      <x:c r="A13" s="25"/>
      <x:c r="B13" s="26"/>
      <x:c r="C13" s="26"/>
      <x:c r="D13" s="26"/>
      <x:c r="E13" s="26"/>
      <x:c r="F13" s="26"/>
      <x:c r="G13" s="26"/>
    </x:row>
    <x:row r="14" ht="17.25" customHeight="1">
      <x:c r="A14" s="25"/>
      <x:c r="B14" s="26"/>
      <x:c r="C14" s="26"/>
      <x:c r="D14" s="26"/>
      <x:c r="E14" s="26"/>
      <x:c r="F14" s="26"/>
      <x:c r="G14" s="26"/>
    </x:row>
    <x:row r="15" ht="17.25" customHeight="1">
      <x:c r="A15" s="25"/>
      <x:c r="B15" s="26"/>
      <x:c r="C15" s="26"/>
      <x:c r="D15" s="26"/>
      <x:c r="E15" s="26"/>
      <x:c r="F15" s="26"/>
      <x:c r="G15" s="26"/>
    </x:row>
    <x:row r="16" ht="17.25" customHeight="1">
      <x:c r="A16" s="25"/>
      <x:c r="B16" s="42" t="n">
        <x:f>COUNTA(B9:B15)</x:f>
        <x:v>0</x:v>
      </x:c>
      <x:c r="C16" s="42" t="n">
        <x:f>COUNTA(C9:C15)</x:f>
        <x:v>1</x:v>
      </x:c>
      <x:c r="D16" s="42" t="n">
        <x:f>COUNTA(D9:D15)</x:f>
        <x:v>2</x:v>
      </x:c>
      <x:c r="E16" s="42" t="n">
        <x:f>COUNTA(E9:E15)</x:f>
        <x:v>3</x:v>
      </x:c>
      <x:c r="F16" s="42" t="n">
        <x:f>COUNTA(F9:F15)</x:f>
        <x:v>0</x:v>
      </x:c>
      <x:c r="G16" s="42" t="n">
        <x:f>COUNTA(G9:G15)</x:f>
        <x:v>1</x:v>
      </x:c>
    </x:row>
    <x:row r="17" ht="17.25" customHeight="1">
      <x:c r="A17" s="37" t="str">
        <x:v>교구</x:v>
      </x:c>
      <x:c r="B17" s="23" t="str">
        <x:v>7팀</x:v>
      </x:c>
      <x:c r="C17" s="23" t="str">
        <x:v>8팀</x:v>
      </x:c>
      <x:c r="D17" s="23" t="str">
        <x:v>9팀</x:v>
      </x:c>
      <x:c r="E17" s="23" t="str">
        <x:v>10팀</x:v>
      </x:c>
      <x:c r="F17" s="23" t="str">
        <x:v>11팀</x:v>
      </x:c>
      <x:c r="G17" s="23" t="str">
        <x:v>12팀</x:v>
      </x:c>
    </x:row>
    <x:row r="18" ht="17.25" customHeight="1">
      <x:c r="A18" s="25"/>
      <x:c r="B18" s="26" t="str">
        <x:v>가상451071</x:v>
      </x:c>
      <x:c r="C18" s="26" t="str">
        <x:v>가상451081</x:v>
      </x:c>
      <x:c r="D18" s="26"/>
      <x:c r="E18" s="26" t="str">
        <x:v>가상451101</x:v>
      </x:c>
      <x:c r="F18" s="26" t="str">
        <x:v>가상451111</x:v>
      </x:c>
      <x:c r="G18" s="26" t="str">
        <x:v>가상451121</x:v>
      </x:c>
    </x:row>
    <x:row r="19" ht="17.25" customHeight="1">
      <x:c r="A19" s="25"/>
      <x:c r="B19" s="26" t="str">
        <x:v>가상451072</x:v>
      </x:c>
      <x:c r="C19" s="26" t="str">
        <x:v>가상451082</x:v>
      </x:c>
      <x:c r="D19" s="26"/>
      <x:c r="E19" s="26"/>
      <x:c r="F19" s="26" t="str">
        <x:v>가상451112</x:v>
      </x:c>
      <x:c r="G19" s="26" t="str">
        <x:v>가상451122</x:v>
      </x:c>
    </x:row>
    <x:row r="20" ht="17.25" customHeight="1">
      <x:c r="A20" s="25"/>
      <x:c r="B20" s="26"/>
      <x:c r="C20" s="26" t="str">
        <x:v>가상451083</x:v>
      </x:c>
      <x:c r="D20" s="26"/>
      <x:c r="E20" s="26"/>
      <x:c r="F20" s="26"/>
      <x:c r="G20" s="26" t="str">
        <x:v>가상451123</x:v>
      </x:c>
    </x:row>
    <x:row r="21" ht="17.25" customHeight="1">
      <x:c r="A21" s="25"/>
      <x:c r="B21" s="26"/>
      <x:c r="C21" s="26"/>
      <x:c r="D21" s="26"/>
      <x:c r="E21" s="26"/>
      <x:c r="F21" s="26"/>
      <x:c r="G21" s="26"/>
    </x:row>
    <x:row r="22" ht="17.25" customHeight="1">
      <x:c r="A22" s="25"/>
      <x:c r="B22" s="26"/>
      <x:c r="C22" s="26"/>
      <x:c r="D22" s="26"/>
      <x:c r="E22" s="26"/>
      <x:c r="F22" s="26"/>
      <x:c r="G22" s="26"/>
    </x:row>
    <x:row r="23" ht="17.25" customHeight="1">
      <x:c r="A23" s="25"/>
      <x:c r="B23" s="26"/>
      <x:c r="C23" s="26"/>
      <x:c r="D23" s="26"/>
      <x:c r="E23" s="26"/>
      <x:c r="F23" s="26"/>
      <x:c r="G23" s="26"/>
    </x:row>
    <x:row r="24" ht="17.25" customHeight="1">
      <x:c r="A24" s="25"/>
      <x:c r="B24" s="26"/>
      <x:c r="C24" s="26"/>
      <x:c r="D24" s="26"/>
      <x:c r="E24" s="26"/>
      <x:c r="F24" s="26"/>
      <x:c r="G24" s="26"/>
    </x:row>
    <x:row r="25" ht="17.25" customHeight="1">
      <x:c r="A25" s="25"/>
      <x:c r="B25" s="42" t="n">
        <x:f>COUNTA(B18:B24)</x:f>
        <x:v>2</x:v>
      </x:c>
      <x:c r="C25" s="42" t="n">
        <x:f>COUNTA(C18:C24)</x:f>
        <x:v>3</x:v>
      </x:c>
      <x:c r="D25" s="42" t="n">
        <x:f>COUNTA(D18:D24)</x:f>
        <x:v>0</x:v>
      </x:c>
      <x:c r="E25" s="42" t="n">
        <x:f>COUNTA(E18:E24)</x:f>
        <x:v>1</x:v>
      </x:c>
      <x:c r="F25" s="42" t="n">
        <x:f>COUNTA(F18:F24)</x:f>
        <x:v>2</x:v>
      </x:c>
      <x:c r="G25" s="42" t="n">
        <x:f>COUNTA(G18:G24)</x:f>
        <x:v>3</x:v>
      </x:c>
    </x:row>
    <x:row r="26" ht="17.25" customHeight="1">
      <x:c r="A26" s="23" t="str">
        <x:v>교구</x:v>
      </x:c>
      <x:c r="B26" s="23" t="str">
        <x:v>1팀</x:v>
      </x:c>
      <x:c r="C26" s="23" t="str">
        <x:v>2팀</x:v>
      </x:c>
      <x:c r="D26" s="23" t="str">
        <x:v>3팀</x:v>
      </x:c>
      <x:c r="E26" s="23" t="str">
        <x:v>4팀</x:v>
      </x:c>
      <x:c r="F26" s="23" t="str">
        <x:v>5팀</x:v>
      </x:c>
      <x:c r="G26" s="23" t="str">
        <x:v>6팀</x:v>
      </x:c>
    </x:row>
    <x:row r="27" ht="17.25" customHeight="1">
      <x:c r="A27" s="25" t="str">
        <x:v>2교구
담당2
목사님</x:v>
      </x:c>
      <x:c r="B27" s="26" t="str">
        <x:v>가상452011</x:v>
      </x:c>
      <x:c r="C27" s="26" t="str">
        <x:v>가상452021</x:v>
      </x:c>
      <x:c r="D27" s="26" t="str">
        <x:v>가상452031</x:v>
      </x:c>
      <x:c r="E27" s="26"/>
      <x:c r="F27" s="26" t="str">
        <x:v>가상452051</x:v>
      </x:c>
      <x:c r="G27" s="26" t="str">
        <x:v>가상452061</x:v>
      </x:c>
    </x:row>
    <x:row r="28" ht="17.25" customHeight="1">
      <x:c r="A28" s="25"/>
      <x:c r="B28" s="26"/>
      <x:c r="C28" s="26" t="str">
        <x:v>가상452022</x:v>
      </x:c>
      <x:c r="D28" s="26" t="str">
        <x:v>가상452032</x:v>
      </x:c>
      <x:c r="E28" s="26"/>
      <x:c r="F28" s="26"/>
      <x:c r="G28" s="26" t="str">
        <x:v>가상452062</x:v>
      </x:c>
    </x:row>
    <x:row r="29" ht="17.25" customHeight="1">
      <x:c r="A29" s="25"/>
      <x:c r="B29" s="26"/>
      <x:c r="C29" s="26"/>
      <x:c r="D29" s="26" t="str">
        <x:v>가상452033</x:v>
      </x:c>
      <x:c r="E29" s="26"/>
      <x:c r="F29" s="26"/>
      <x:c r="G29" s="26"/>
    </x:row>
    <x:row r="30" ht="17.25" customHeight="1">
      <x:c r="A30" s="25"/>
      <x:c r="B30" s="26"/>
      <x:c r="C30" s="26"/>
      <x:c r="D30" s="26"/>
      <x:c r="E30" s="26"/>
      <x:c r="F30" s="26"/>
      <x:c r="G30" s="26"/>
    </x:row>
    <x:row r="31" ht="17.25" customHeight="1">
      <x:c r="A31" s="25"/>
      <x:c r="B31" s="26"/>
      <x:c r="C31" s="26"/>
      <x:c r="D31" s="26"/>
      <x:c r="E31" s="26"/>
      <x:c r="F31" s="26"/>
      <x:c r="G31" s="26"/>
    </x:row>
    <x:row r="32" ht="17.25" customHeight="1">
      <x:c r="A32" s="25"/>
      <x:c r="B32" s="26"/>
      <x:c r="C32" s="26"/>
      <x:c r="D32" s="26"/>
      <x:c r="E32" s="26"/>
      <x:c r="F32" s="26"/>
      <x:c r="G32" s="26"/>
    </x:row>
    <x:row r="33" ht="17.25" customHeight="1">
      <x:c r="A33" s="25"/>
      <x:c r="B33" s="26"/>
      <x:c r="C33" s="26"/>
      <x:c r="D33" s="26"/>
      <x:c r="E33" s="26"/>
      <x:c r="F33" s="26"/>
      <x:c r="G33" s="26"/>
    </x:row>
    <x:row r="34" ht="17.25" customHeight="1">
      <x:c r="A34" s="25"/>
      <x:c r="B34" s="42" t="n">
        <x:f>COUNTA(B27:B33)</x:f>
        <x:v>1</x:v>
      </x:c>
      <x:c r="C34" s="42" t="n">
        <x:f>COUNTA(C27:C33)</x:f>
        <x:v>2</x:v>
      </x:c>
      <x:c r="D34" s="42" t="n">
        <x:f>COUNTA(D27:D33)</x:f>
        <x:v>3</x:v>
      </x:c>
      <x:c r="E34" s="42" t="n">
        <x:f>COUNTA(E27:E33)</x:f>
        <x:v>0</x:v>
      </x:c>
      <x:c r="F34" s="42" t="n">
        <x:f>COUNTA(F27:F33)</x:f>
        <x:v>1</x:v>
      </x:c>
      <x:c r="G34" s="42" t="n">
        <x:f>COUNTA(G27:G33)</x:f>
        <x:v>2</x:v>
      </x:c>
    </x:row>
    <x:row r="35" ht="17.25" customHeight="1">
      <x:c r="A35" s="37" t="str">
        <x:v>교구</x:v>
      </x:c>
      <x:c r="B35" s="23" t="str">
        <x:v>7팀</x:v>
      </x:c>
      <x:c r="C35" s="23" t="str">
        <x:v>8팀</x:v>
      </x:c>
      <x:c r="D35" s="23" t="str">
        <x:v>9팀</x:v>
      </x:c>
      <x:c r="E35" s="23" t="str">
        <x:v>10팀</x:v>
      </x:c>
      <x:c r="F35" s="23" t="str">
        <x:v>11팀</x:v>
      </x:c>
      <x:c r="G35" s="23" t="str">
        <x:v>12팀</x:v>
      </x:c>
    </x:row>
    <x:row r="36" ht="17.25" customHeight="1">
      <x:c r="A36" s="25"/>
      <x:c r="B36" s="26" t="str">
        <x:v>가상452071</x:v>
      </x:c>
      <x:c r="C36" s="26"/>
      <x:c r="D36" s="26" t="str">
        <x:v>가상452091</x:v>
      </x:c>
      <x:c r="E36" s="26" t="str">
        <x:v>가상452101</x:v>
      </x:c>
      <x:c r="F36" s="26" t="str">
        <x:v>가상452111</x:v>
      </x:c>
      <x:c r="G36" s="26"/>
    </x:row>
    <x:row r="37" ht="17.25" customHeight="1">
      <x:c r="A37" s="25"/>
      <x:c r="B37" s="26" t="str">
        <x:v>가상452072</x:v>
      </x:c>
      <x:c r="C37" s="26"/>
      <x:c r="D37" s="26"/>
      <x:c r="E37" s="26" t="str">
        <x:v>가상452102</x:v>
      </x:c>
      <x:c r="F37" s="26" t="str">
        <x:v>가상452112</x:v>
      </x:c>
      <x:c r="G37" s="26"/>
    </x:row>
    <x:row r="38" ht="17.25" customHeight="1">
      <x:c r="A38" s="25"/>
      <x:c r="B38" s="26" t="str">
        <x:v>가상452073</x:v>
      </x:c>
      <x:c r="C38" s="26"/>
      <x:c r="D38" s="26"/>
      <x:c r="E38" s="26"/>
      <x:c r="F38" s="26" t="str">
        <x:v>가상452113</x:v>
      </x:c>
      <x:c r="G38" s="26"/>
    </x:row>
    <x:row r="39" ht="17.25" customHeight="1">
      <x:c r="A39" s="25"/>
      <x:c r="B39" s="26"/>
      <x:c r="C39" s="26"/>
      <x:c r="D39" s="26"/>
      <x:c r="E39" s="26"/>
      <x:c r="F39" s="26"/>
      <x:c r="G39" s="26"/>
    </x:row>
    <x:row r="40" ht="17.25" customHeight="1">
      <x:c r="A40" s="25"/>
      <x:c r="B40" s="26"/>
      <x:c r="C40" s="26"/>
      <x:c r="D40" s="26"/>
      <x:c r="E40" s="26"/>
      <x:c r="F40" s="26"/>
      <x:c r="G40" s="26"/>
    </x:row>
    <x:row r="41" ht="17.25" customHeight="1">
      <x:c r="A41" s="25"/>
      <x:c r="B41" s="26"/>
      <x:c r="C41" s="26"/>
      <x:c r="D41" s="26"/>
      <x:c r="E41" s="26"/>
      <x:c r="F41" s="26"/>
      <x:c r="G41" s="26"/>
    </x:row>
    <x:row r="42" ht="17.25" customHeight="1">
      <x:c r="A42" s="25"/>
      <x:c r="B42" s="26"/>
      <x:c r="C42" s="26"/>
      <x:c r="D42" s="26"/>
      <x:c r="E42" s="26"/>
      <x:c r="F42" s="26"/>
      <x:c r="G42" s="26"/>
    </x:row>
    <x:row r="43" ht="17.25" customHeight="1">
      <x:c r="A43" s="25"/>
      <x:c r="B43" s="42" t="n">
        <x:f>COUNTA(B36:B42)</x:f>
        <x:v>3</x:v>
      </x:c>
      <x:c r="C43" s="42" t="n">
        <x:f>COUNTA(C36:C42)</x:f>
        <x:v>0</x:v>
      </x:c>
      <x:c r="D43" s="42" t="n">
        <x:f>COUNTA(D36:D42)</x:f>
        <x:v>1</x:v>
      </x:c>
      <x:c r="E43" s="42" t="n">
        <x:f>COUNTA(E36:E42)</x:f>
        <x:v>2</x:v>
      </x:c>
      <x:c r="F43" s="42" t="n">
        <x:f>COUNTA(F36:F42)</x:f>
        <x:v>3</x:v>
      </x:c>
      <x:c r="G43" s="42" t="n">
        <x:f>COUNTA(G36:G42)</x:f>
        <x:v>0</x:v>
      </x:c>
    </x:row>
    <x:row r="44" ht="17.25" customHeight="1">
      <x:c r="A44" s="23" t="str">
        <x:v>교구</x:v>
      </x:c>
      <x:c r="B44" s="23" t="str">
        <x:v>1팀</x:v>
      </x:c>
      <x:c r="C44" s="23" t="str">
        <x:v>2팀</x:v>
      </x:c>
      <x:c r="D44" s="23" t="str">
        <x:v>3팀</x:v>
      </x:c>
      <x:c r="E44" s="23" t="str">
        <x:v>4팀</x:v>
      </x:c>
      <x:c r="F44" s="23" t="str">
        <x:v>5팀</x:v>
      </x:c>
      <x:c r="G44" s="23" t="str">
        <x:v>6팀</x:v>
      </x:c>
    </x:row>
    <x:row r="45" ht="17.25" customHeight="1">
      <x:c r="A45" s="25" t="str">
        <x:v>3교구
담당3
목사님</x:v>
      </x:c>
      <x:c r="B45" s="26" t="str">
        <x:v>가상453011</x:v>
      </x:c>
      <x:c r="C45" s="26" t="str">
        <x:v>가상453021</x:v>
      </x:c>
      <x:c r="D45" s="26"/>
      <x:c r="E45" s="26" t="str">
        <x:v>가상453041</x:v>
      </x:c>
      <x:c r="F45" s="26" t="str">
        <x:v>가상453051</x:v>
      </x:c>
      <x:c r="G45" s="26" t="str">
        <x:v>가상453061</x:v>
      </x:c>
    </x:row>
    <x:row r="46" ht="17.25" customHeight="1">
      <x:c r="A46" s="25"/>
      <x:c r="B46" s="26" t="str">
        <x:v>가상453012</x:v>
      </x:c>
      <x:c r="C46" s="26" t="str">
        <x:v>가상453022</x:v>
      </x:c>
      <x:c r="D46" s="26"/>
      <x:c r="E46" s="26"/>
      <x:c r="F46" s="26" t="str">
        <x:v>가상453052</x:v>
      </x:c>
      <x:c r="G46" s="26" t="str">
        <x:v>가상453062</x:v>
      </x:c>
    </x:row>
    <x:row r="47" ht="17.25" customHeight="1">
      <x:c r="A47" s="25"/>
      <x:c r="B47" s="26"/>
      <x:c r="C47" s="26" t="str">
        <x:v>가상453023</x:v>
      </x:c>
      <x:c r="D47" s="26"/>
      <x:c r="E47" s="26"/>
      <x:c r="F47" s="26"/>
      <x:c r="G47" s="26" t="str">
        <x:v>가상453063</x:v>
      </x:c>
    </x:row>
    <x:row r="48" ht="17.25" customHeight="1">
      <x:c r="A48" s="25"/>
      <x:c r="B48" s="26"/>
      <x:c r="C48" s="26"/>
      <x:c r="D48" s="26"/>
      <x:c r="E48" s="26"/>
      <x:c r="F48" s="26"/>
      <x:c r="G48" s="26"/>
    </x:row>
    <x:row r="49" ht="17.25" customHeight="1">
      <x:c r="A49" s="25"/>
      <x:c r="B49" s="26"/>
      <x:c r="C49" s="26"/>
      <x:c r="D49" s="26"/>
      <x:c r="E49" s="26"/>
      <x:c r="F49" s="26"/>
      <x:c r="G49" s="26"/>
    </x:row>
    <x:row r="50" ht="17.25" customHeight="1">
      <x:c r="A50" s="25"/>
      <x:c r="B50" s="26"/>
      <x:c r="C50" s="26"/>
      <x:c r="D50" s="26"/>
      <x:c r="E50" s="26"/>
      <x:c r="F50" s="26"/>
      <x:c r="G50" s="26"/>
    </x:row>
    <x:row r="51" ht="17.25" customHeight="1">
      <x:c r="A51" s="25"/>
      <x:c r="B51" s="26"/>
      <x:c r="C51" s="26"/>
      <x:c r="D51" s="26"/>
      <x:c r="E51" s="26"/>
      <x:c r="F51" s="26"/>
      <x:c r="G51" s="26"/>
    </x:row>
    <x:row r="52" ht="17.25" customHeight="1">
      <x:c r="A52" s="25"/>
      <x:c r="B52" s="42" t="n">
        <x:f>COUNTA(B45:B51)</x:f>
        <x:v>2</x:v>
      </x:c>
      <x:c r="C52" s="42" t="n">
        <x:f>COUNTA(C45:C51)</x:f>
        <x:v>3</x:v>
      </x:c>
      <x:c r="D52" s="42" t="n">
        <x:f>COUNTA(D45:D51)</x:f>
        <x:v>0</x:v>
      </x:c>
      <x:c r="E52" s="42" t="n">
        <x:f>COUNTA(E45:E51)</x:f>
        <x:v>1</x:v>
      </x:c>
      <x:c r="F52" s="42" t="n">
        <x:f>COUNTA(F45:F51)</x:f>
        <x:v>2</x:v>
      </x:c>
      <x:c r="G52" s="42" t="n">
        <x:f>COUNTA(G45:G51)</x:f>
        <x:v>3</x:v>
      </x:c>
    </x:row>
    <x:row r="53" ht="17.25" customHeight="1">
      <x:c r="A53" s="37" t="str">
        <x:v>교구</x:v>
      </x:c>
      <x:c r="B53" s="23" t="str">
        <x:v>7팀</x:v>
      </x:c>
      <x:c r="C53" s="23" t="str">
        <x:v>8팀</x:v>
      </x:c>
      <x:c r="D53" s="23" t="str">
        <x:v>9팀</x:v>
      </x:c>
      <x:c r="E53" s="23" t="str">
        <x:v>10팀</x:v>
      </x:c>
      <x:c r="F53" s="23" t="str">
        <x:v>11팀</x:v>
      </x:c>
      <x:c r="G53" s="23" t="str">
        <x:v>12팀</x:v>
      </x:c>
    </x:row>
    <x:row r="54" ht="17.25" customHeight="1">
      <x:c r="A54" s="25"/>
      <x:c r="B54" s="26"/>
      <x:c r="C54" s="26" t="str">
        <x:v>가상453081</x:v>
      </x:c>
      <x:c r="D54" s="26" t="str">
        <x:v>가상453091</x:v>
      </x:c>
      <x:c r="E54" s="26" t="str">
        <x:v>가상453101</x:v>
      </x:c>
      <x:c r="F54" s="26"/>
      <x:c r="G54" s="26" t="str">
        <x:v>가상453121</x:v>
      </x:c>
    </x:row>
    <x:row r="55" ht="17.25" customHeight="1">
      <x:c r="A55" s="25"/>
      <x:c r="B55" s="26"/>
      <x:c r="C55" s="26"/>
      <x:c r="D55" s="26" t="str">
        <x:v>가상453092</x:v>
      </x:c>
      <x:c r="E55" s="26" t="str">
        <x:v>가상453102</x:v>
      </x:c>
      <x:c r="F55" s="26"/>
      <x:c r="G55" s="26"/>
    </x:row>
    <x:row r="56" ht="17.25" customHeight="1">
      <x:c r="A56" s="25"/>
      <x:c r="B56" s="26"/>
      <x:c r="C56" s="26"/>
      <x:c r="D56" s="26"/>
      <x:c r="E56" s="26" t="str">
        <x:v>가상453103</x:v>
      </x:c>
      <x:c r="F56" s="26"/>
      <x:c r="G56" s="26"/>
    </x:row>
    <x:row r="57" ht="17.25" customHeight="1">
      <x:c r="A57" s="25"/>
      <x:c r="B57" s="26"/>
      <x:c r="C57" s="26"/>
      <x:c r="D57" s="26"/>
      <x:c r="E57" s="26"/>
      <x:c r="F57" s="26"/>
      <x:c r="G57" s="26"/>
    </x:row>
    <x:row r="58" ht="17.25" customHeight="1">
      <x:c r="A58" s="25"/>
      <x:c r="B58" s="26"/>
      <x:c r="C58" s="26"/>
      <x:c r="D58" s="26"/>
      <x:c r="E58" s="26"/>
      <x:c r="F58" s="26"/>
      <x:c r="G58" s="26"/>
    </x:row>
    <x:row r="59" ht="17.25" customHeight="1">
      <x:c r="A59" s="25"/>
      <x:c r="B59" s="26"/>
      <x:c r="C59" s="26"/>
      <x:c r="D59" s="26"/>
      <x:c r="E59" s="26"/>
      <x:c r="F59" s="26"/>
      <x:c r="G59" s="26"/>
    </x:row>
    <x:row r="60" ht="17.25" customHeight="1">
      <x:c r="A60" s="25"/>
      <x:c r="B60" s="26"/>
      <x:c r="C60" s="26"/>
      <x:c r="D60" s="26"/>
      <x:c r="E60" s="26"/>
      <x:c r="F60" s="26"/>
      <x:c r="G60" s="26"/>
    </x:row>
    <x:row r="61" ht="17.25" customHeight="1">
      <x:c r="A61" s="25"/>
      <x:c r="B61" s="42" t="n">
        <x:f>COUNTA(B54:B60)</x:f>
        <x:v>0</x:v>
      </x:c>
      <x:c r="C61" s="42" t="n">
        <x:f>COUNTA(C54:C60)</x:f>
        <x:v>1</x:v>
      </x:c>
      <x:c r="D61" s="42" t="n">
        <x:f>COUNTA(D54:D60)</x:f>
        <x:v>2</x:v>
      </x:c>
      <x:c r="E61" s="42" t="n">
        <x:f>COUNTA(E54:E60)</x:f>
        <x:v>3</x:v>
      </x:c>
      <x:c r="F61" s="42" t="n">
        <x:f>COUNTA(F54:F60)</x:f>
        <x:v>0</x:v>
      </x:c>
      <x:c r="G61" s="42" t="n">
        <x:f>COUNTA(G54:G60)</x:f>
        <x:v>1</x:v>
      </x:c>
    </x:row>
    <x:row r="62" ht="17.25" customHeight="1">
      <x:c r="A62" s="4"/>
      <x:c r="B62" s="4"/>
      <x:c r="C62" s="4"/>
      <x:c r="D62" s="4"/>
      <x:c r="E62" s="4"/>
      <x:c r="F62" s="4"/>
      <x:c r="G62" s="4"/>
    </x:row>
    <x:row r="63" ht="17.25" customHeight="1">
      <x:c r="A63" s="4"/>
      <x:c r="B63" s="4"/>
      <x:c r="C63" s="4"/>
      <x:c r="D63" s="4"/>
      <x:c r="E63" s="4"/>
      <x:c r="F63" s="4"/>
      <x:c r="G63" s="4"/>
    </x:row>
  </x:sheetData>
  <x:mergeCells>
    <x:mergeCell ref="A1:C2"/>
    <x:mergeCell ref="D1:G2"/>
    <x:mergeCell ref="A3:G3"/>
    <x:mergeCell ref="A5:A6"/>
    <x:mergeCell ref="F5:G6"/>
    <x:mergeCell ref="A9:A25"/>
    <x:mergeCell ref="A27:A43"/>
    <x:mergeCell ref="A45:A61"/>
  </x:mergeCells>
  <x:printOptions horizontalCentered="1"/>
  <x:pageMargins left="0.25" right="0.25" top="0.3" bottom="0.3" header="0.1" footer="0.15"/>
  <x:pageSetup paperSize="9" orientation="portrait" fitToWidth="1" fitToHeight="1"/>
  <x:headerFooter>
    <x:oddFooter>&amp;C5 / 9</x:oddFooter>
  </x:headerFooter>
</x:worksheet>
</file>

<file path=xl/worksheets/sheet6.xml><?xml version="1.0" encoding="utf-8"?>
<x:worksheet xmlns:x="http://schemas.openxmlformats.org/spreadsheetml/2006/main">
  <x:sheetPr>
    <x:tabColor rgb="FF657567"/>
    <x:pageSetUpPr fitToPage="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.889999866485596" hidden="0" customWidth="1"/>
    <x:col min="2" max="2" width="5.329999923706055" hidden="0" customWidth="1"/>
    <x:col min="3" max="3" width="10.4399995803833" hidden="0" customWidth="1"/>
    <x:col min="4" max="4" width="10.329999923706055" hidden="0" customWidth="1"/>
    <x:col min="5" max="5" width="10.329999923706055" hidden="0" customWidth="1"/>
    <x:col min="6" max="6" width="10.329999923706055" hidden="0" customWidth="1"/>
    <x:col min="7" max="7" width="10.329999923706055" hidden="0" customWidth="1"/>
    <x:col min="8" max="8" width="10.670000076293945" hidden="0" customWidth="1"/>
  </x:cols>
  <x:sheetData>
    <x:row r="1" ht="18" customHeight="1">
      <x:c r="A1" s="10" t="n">
        <x:v>46270</x:v>
      </x:c>
      <x:c r="B1" s="11"/>
      <x:c r="C1" s="11"/>
      <x:c r="D1" s="12" t="str">
        <x:v>NEWSONG J 대학부 45기 인원</x:v>
      </x:c>
      <x:c r="E1" s="12"/>
      <x:c r="F1" s="12"/>
      <x:c r="G1" s="12"/>
      <x:c r="H1" s="13"/>
    </x:row>
    <x:row r="2" ht="18" customHeight="1">
      <x:c r="A2" s="14"/>
      <x:c r="B2" s="15"/>
      <x:c r="C2" s="15"/>
      <x:c r="D2" s="16"/>
      <x:c r="E2" s="16"/>
      <x:c r="F2" s="16"/>
      <x:c r="G2" s="16"/>
      <x:c r="H2" s="17"/>
    </x:row>
    <x:row r="3" ht="18" customHeight="1">
      <x:c r="A3" s="19" t="str">
        <x:v>디자인 검토용 · 모든 숫자와 명단은 가상 데이터</x:v>
      </x:c>
      <x:c r="B3" s="19"/>
      <x:c r="C3" s="19"/>
      <x:c r="D3" s="19"/>
      <x:c r="E3" s="19"/>
      <x:c r="F3" s="19"/>
      <x:c r="G3" s="19"/>
      <x:c r="H3" s="19"/>
    </x:row>
    <x:row r="4" ht="18" customHeight="1">
      <x:c r="A4" s="23" t="str">
        <x:v>교구</x:v>
      </x:c>
      <x:c r="B4" s="23" t="str">
        <x:v>팀</x:v>
      </x:c>
      <x:c r="C4" s="23" t="str">
        <x:v>팀장</x:v>
      </x:c>
      <x:c r="D4" s="24" t="n">
        <x:v>46249</x:v>
      </x:c>
      <x:c r="E4" s="24" t="n">
        <x:v>46256</x:v>
      </x:c>
      <x:c r="F4" s="24" t="n">
        <x:v>46263</x:v>
      </x:c>
      <x:c r="G4" s="28" t="n">
        <x:v>46270</x:v>
      </x:c>
      <x:c r="H4" s="23" t="str">
        <x:v>지난주 대비</x:v>
      </x:c>
    </x:row>
    <x:row r="5" ht="18" customHeight="1">
      <x:c r="A5" s="25" t="str">
        <x:v>1교구
담당1
목사님</x:v>
      </x:c>
      <x:c r="B5" s="26" t="n">
        <x:v>1</x:v>
      </x:c>
      <x:c r="C5" s="26" t="str">
        <x:v>팀장101</x:v>
      </x:c>
      <x:c r="D5" s="26" t="n">
        <x:v>0</x:v>
      </x:c>
      <x:c r="E5" s="26" t="n">
        <x:v>0</x:v>
      </x:c>
      <x:c r="F5" s="26" t="n">
        <x:v>1</x:v>
      </x:c>
      <x:c r="G5" s="29" t="n">
        <x:f>'05_45기명단'!B16</x:f>
        <x:v>0</x:v>
      </x:c>
      <x:c r="H5" s="26" t="n">
        <x:f>G5-F5</x:f>
        <x:v>-1</x:v>
      </x:c>
    </x:row>
    <x:row r="6" ht="18" customHeight="1">
      <x:c r="A6" s="25"/>
      <x:c r="B6" s="26" t="n">
        <x:v>2</x:v>
      </x:c>
      <x:c r="C6" s="26" t="str">
        <x:v>팀장102</x:v>
      </x:c>
      <x:c r="D6" s="26" t="n">
        <x:v>1</x:v>
      </x:c>
      <x:c r="E6" s="26" t="n">
        <x:v>2</x:v>
      </x:c>
      <x:c r="F6" s="26" t="n">
        <x:v>0</x:v>
      </x:c>
      <x:c r="G6" s="29" t="n">
        <x:f>'05_45기명단'!C16</x:f>
        <x:v>1</x:v>
      </x:c>
      <x:c r="H6" s="26" t="n">
        <x:f>G6-F6</x:f>
        <x:v>1</x:v>
      </x:c>
    </x:row>
    <x:row r="7" ht="18" customHeight="1">
      <x:c r="A7" s="25"/>
      <x:c r="B7" s="26" t="n">
        <x:v>3</x:v>
      </x:c>
      <x:c r="C7" s="26" t="str">
        <x:v>팀장103</x:v>
      </x:c>
      <x:c r="D7" s="26" t="n">
        <x:v>3</x:v>
      </x:c>
      <x:c r="E7" s="26" t="n">
        <x:v>1</x:v>
      </x:c>
      <x:c r="F7" s="26" t="n">
        <x:v>2</x:v>
      </x:c>
      <x:c r="G7" s="29" t="n">
        <x:f>'05_45기명단'!D16</x:f>
        <x:v>2</x:v>
      </x:c>
      <x:c r="H7" s="26" t="n">
        <x:f>G7-F7</x:f>
        <x:v>0</x:v>
      </x:c>
    </x:row>
    <x:row r="8" ht="18" customHeight="1">
      <x:c r="A8" s="25"/>
      <x:c r="B8" s="26" t="n">
        <x:v>4</x:v>
      </x:c>
      <x:c r="C8" s="26" t="str">
        <x:v>팀장104</x:v>
      </x:c>
      <x:c r="D8" s="26" t="n">
        <x:v>2</x:v>
      </x:c>
      <x:c r="E8" s="26" t="n">
        <x:v>3</x:v>
      </x:c>
      <x:c r="F8" s="26" t="n">
        <x:v>4</x:v>
      </x:c>
      <x:c r="G8" s="29" t="n">
        <x:f>'05_45기명단'!E16</x:f>
        <x:v>3</x:v>
      </x:c>
      <x:c r="H8" s="26" t="n">
        <x:f>G8-F8</x:f>
        <x:v>-1</x:v>
      </x:c>
    </x:row>
    <x:row r="9" ht="18" customHeight="1">
      <x:c r="A9" s="25"/>
      <x:c r="B9" s="26" t="n">
        <x:v>5</x:v>
      </x:c>
      <x:c r="C9" s="26" t="str">
        <x:v>팀장105</x:v>
      </x:c>
      <x:c r="D9" s="26" t="n">
        <x:v>0</x:v>
      </x:c>
      <x:c r="E9" s="26" t="n">
        <x:v>1</x:v>
      </x:c>
      <x:c r="F9" s="26" t="n">
        <x:v>0</x:v>
      </x:c>
      <x:c r="G9" s="29" t="n">
        <x:f>'05_45기명단'!F16</x:f>
        <x:v>0</x:v>
      </x:c>
      <x:c r="H9" s="26" t="n">
        <x:f>G9-F9</x:f>
        <x:v>0</x:v>
      </x:c>
    </x:row>
    <x:row r="10" ht="18" customHeight="1">
      <x:c r="A10" s="25"/>
      <x:c r="B10" s="26" t="n">
        <x:v>6</x:v>
      </x:c>
      <x:c r="C10" s="26" t="str">
        <x:v>팀장106</x:v>
      </x:c>
      <x:c r="D10" s="26" t="n">
        <x:v>2</x:v>
      </x:c>
      <x:c r="E10" s="26" t="n">
        <x:v>0</x:v>
      </x:c>
      <x:c r="F10" s="26" t="n">
        <x:v>1</x:v>
      </x:c>
      <x:c r="G10" s="29" t="n">
        <x:f>'05_45기명단'!G16</x:f>
        <x:v>1</x:v>
      </x:c>
      <x:c r="H10" s="26" t="n">
        <x:f>G10-F10</x:f>
        <x:v>0</x:v>
      </x:c>
    </x:row>
    <x:row r="11" ht="18" customHeight="1">
      <x:c r="A11" s="25"/>
      <x:c r="B11" s="26" t="n">
        <x:v>7</x:v>
      </x:c>
      <x:c r="C11" s="26" t="str">
        <x:v>팀장107</x:v>
      </x:c>
      <x:c r="D11" s="26" t="n">
        <x:v>1</x:v>
      </x:c>
      <x:c r="E11" s="26" t="n">
        <x:v>2</x:v>
      </x:c>
      <x:c r="F11" s="26" t="n">
        <x:v>3</x:v>
      </x:c>
      <x:c r="G11" s="29" t="n">
        <x:f>'05_45기명단'!B25</x:f>
        <x:v>2</x:v>
      </x:c>
      <x:c r="H11" s="26" t="n">
        <x:f>G11-F11</x:f>
        <x:v>-1</x:v>
      </x:c>
    </x:row>
    <x:row r="12" ht="18" customHeight="1">
      <x:c r="A12" s="25"/>
      <x:c r="B12" s="26" t="n">
        <x:v>8</x:v>
      </x:c>
      <x:c r="C12" s="26" t="str">
        <x:v>팀장108</x:v>
      </x:c>
      <x:c r="D12" s="26" t="n">
        <x:v>3</x:v>
      </x:c>
      <x:c r="E12" s="26" t="n">
        <x:v>4</x:v>
      </x:c>
      <x:c r="F12" s="26" t="n">
        <x:v>2</x:v>
      </x:c>
      <x:c r="G12" s="29" t="n">
        <x:f>'05_45기명단'!C25</x:f>
        <x:v>3</x:v>
      </x:c>
      <x:c r="H12" s="26" t="n">
        <x:f>G12-F12</x:f>
        <x:v>1</x:v>
      </x:c>
    </x:row>
    <x:row r="13" ht="18" customHeight="1">
      <x:c r="A13" s="25"/>
      <x:c r="B13" s="26" t="n">
        <x:v>9</x:v>
      </x:c>
      <x:c r="C13" s="26" t="str">
        <x:v>팀장109</x:v>
      </x:c>
      <x:c r="D13" s="26" t="n">
        <x:v>1</x:v>
      </x:c>
      <x:c r="E13" s="26" t="n">
        <x:v>0</x:v>
      </x:c>
      <x:c r="F13" s="26" t="n">
        <x:v>0</x:v>
      </x:c>
      <x:c r="G13" s="29" t="n">
        <x:f>'05_45기명단'!D25</x:f>
        <x:v>0</x:v>
      </x:c>
      <x:c r="H13" s="26" t="n">
        <x:f>G13-F13</x:f>
        <x:v>0</x:v>
      </x:c>
    </x:row>
    <x:row r="14" ht="18" customHeight="1">
      <x:c r="A14" s="25"/>
      <x:c r="B14" s="26" t="n">
        <x:v>10</x:v>
      </x:c>
      <x:c r="C14" s="26" t="str">
        <x:v>팀장110</x:v>
      </x:c>
      <x:c r="D14" s="26" t="n">
        <x:v>0</x:v>
      </x:c>
      <x:c r="E14" s="26" t="n">
        <x:v>1</x:v>
      </x:c>
      <x:c r="F14" s="26" t="n">
        <x:v>2</x:v>
      </x:c>
      <x:c r="G14" s="29" t="n">
        <x:f>'05_45기명단'!E25</x:f>
        <x:v>1</x:v>
      </x:c>
      <x:c r="H14" s="26" t="n">
        <x:f>G14-F14</x:f>
        <x:v>-1</x:v>
      </x:c>
    </x:row>
    <x:row r="15" ht="18" customHeight="1">
      <x:c r="A15" s="25"/>
      <x:c r="B15" s="26" t="n">
        <x:v>11</x:v>
      </x:c>
      <x:c r="C15" s="26" t="str">
        <x:v>팀장111</x:v>
      </x:c>
      <x:c r="D15" s="26" t="n">
        <x:v>2</x:v>
      </x:c>
      <x:c r="E15" s="26" t="n">
        <x:v>3</x:v>
      </x:c>
      <x:c r="F15" s="26" t="n">
        <x:v>1</x:v>
      </x:c>
      <x:c r="G15" s="29" t="n">
        <x:f>'05_45기명단'!F25</x:f>
        <x:v>2</x:v>
      </x:c>
      <x:c r="H15" s="26" t="n">
        <x:f>G15-F15</x:f>
        <x:v>1</x:v>
      </x:c>
    </x:row>
    <x:row r="16" ht="18" customHeight="1">
      <x:c r="A16" s="25"/>
      <x:c r="B16" s="26" t="n">
        <x:v>12</x:v>
      </x:c>
      <x:c r="C16" s="26" t="str">
        <x:v>팀장112</x:v>
      </x:c>
      <x:c r="D16" s="26" t="n">
        <x:v>4</x:v>
      </x:c>
      <x:c r="E16" s="26" t="n">
        <x:v>2</x:v>
      </x:c>
      <x:c r="F16" s="26" t="n">
        <x:v>3</x:v>
      </x:c>
      <x:c r="G16" s="29" t="n">
        <x:f>'05_45기명단'!G25</x:f>
        <x:v>3</x:v>
      </x:c>
      <x:c r="H16" s="26" t="n">
        <x:f>G16-F16</x:f>
        <x:v>0</x:v>
      </x:c>
    </x:row>
    <x:row r="17" ht="18" customHeight="1">
      <x:c r="A17" s="30" t="str">
        <x:v>1교구 총계</x:v>
      </x:c>
      <x:c r="B17" s="30"/>
      <x:c r="C17" s="30"/>
      <x:c r="D17" s="30" t="n">
        <x:f>SUM(D5:D16)</x:f>
        <x:v>19</x:v>
      </x:c>
      <x:c r="E17" s="30" t="n">
        <x:f>SUM(E5:E16)</x:f>
        <x:v>19</x:v>
      </x:c>
      <x:c r="F17" s="30" t="n">
        <x:f>SUM(F5:F16)</x:f>
        <x:v>19</x:v>
      </x:c>
      <x:c r="G17" s="31" t="n">
        <x:f>SUM(G5:G16)</x:f>
        <x:v>18</x:v>
      </x:c>
      <x:c r="H17" s="30" t="n">
        <x:f>SUM(H5:H16)</x:f>
        <x:v>-1</x:v>
      </x:c>
    </x:row>
    <x:row r="18" ht="18" customHeight="1">
      <x:c r="A18" s="23" t="str">
        <x:v>교구</x:v>
      </x:c>
      <x:c r="B18" s="23" t="str">
        <x:v>팀</x:v>
      </x:c>
      <x:c r="C18" s="23" t="str">
        <x:v>팀장</x:v>
      </x:c>
      <x:c r="D18" s="24" t="n">
        <x:v>46249</x:v>
      </x:c>
      <x:c r="E18" s="24" t="n">
        <x:v>46256</x:v>
      </x:c>
      <x:c r="F18" s="24" t="n">
        <x:v>46263</x:v>
      </x:c>
      <x:c r="G18" s="28" t="n">
        <x:v>46270</x:v>
      </x:c>
      <x:c r="H18" s="23" t="str">
        <x:v>지난주 대비</x:v>
      </x:c>
    </x:row>
    <x:row r="19" ht="18" customHeight="1">
      <x:c r="A19" s="25" t="str">
        <x:v>2교구
담당2
목사님</x:v>
      </x:c>
      <x:c r="B19" s="26" t="n">
        <x:v>1</x:v>
      </x:c>
      <x:c r="C19" s="26" t="str">
        <x:v>팀장201</x:v>
      </x:c>
      <x:c r="D19" s="26" t="n">
        <x:v>0</x:v>
      </x:c>
      <x:c r="E19" s="26" t="n">
        <x:v>1</x:v>
      </x:c>
      <x:c r="F19" s="26" t="n">
        <x:v>2</x:v>
      </x:c>
      <x:c r="G19" s="29" t="n">
        <x:f>'05_45기명단'!B34</x:f>
        <x:v>1</x:v>
      </x:c>
      <x:c r="H19" s="26" t="n">
        <x:f>G19-F19</x:f>
        <x:v>-1</x:v>
      </x:c>
    </x:row>
    <x:row r="20" ht="18" customHeight="1">
      <x:c r="A20" s="25"/>
      <x:c r="B20" s="26" t="n">
        <x:v>2</x:v>
      </x:c>
      <x:c r="C20" s="26" t="str">
        <x:v>팀장202</x:v>
      </x:c>
      <x:c r="D20" s="26" t="n">
        <x:v>2</x:v>
      </x:c>
      <x:c r="E20" s="26" t="n">
        <x:v>3</x:v>
      </x:c>
      <x:c r="F20" s="26" t="n">
        <x:v>1</x:v>
      </x:c>
      <x:c r="G20" s="29" t="n">
        <x:f>'05_45기명단'!C34</x:f>
        <x:v>2</x:v>
      </x:c>
      <x:c r="H20" s="26" t="n">
        <x:f>G20-F20</x:f>
        <x:v>1</x:v>
      </x:c>
    </x:row>
    <x:row r="21" ht="18" customHeight="1">
      <x:c r="A21" s="25"/>
      <x:c r="B21" s="26" t="n">
        <x:v>3</x:v>
      </x:c>
      <x:c r="C21" s="26" t="str">
        <x:v>팀장203</x:v>
      </x:c>
      <x:c r="D21" s="26" t="n">
        <x:v>4</x:v>
      </x:c>
      <x:c r="E21" s="26" t="n">
        <x:v>2</x:v>
      </x:c>
      <x:c r="F21" s="26" t="n">
        <x:v>3</x:v>
      </x:c>
      <x:c r="G21" s="29" t="n">
        <x:f>'05_45기명단'!D34</x:f>
        <x:v>3</x:v>
      </x:c>
      <x:c r="H21" s="26" t="n">
        <x:f>G21-F21</x:f>
        <x:v>0</x:v>
      </x:c>
    </x:row>
    <x:row r="22" ht="18" customHeight="1">
      <x:c r="A22" s="25"/>
      <x:c r="B22" s="26" t="n">
        <x:v>4</x:v>
      </x:c>
      <x:c r="C22" s="26" t="str">
        <x:v>팀장204</x:v>
      </x:c>
      <x:c r="D22" s="26" t="n">
        <x:v>0</x:v>
      </x:c>
      <x:c r="E22" s="26" t="n">
        <x:v>0</x:v>
      </x:c>
      <x:c r="F22" s="26" t="n">
        <x:v>1</x:v>
      </x:c>
      <x:c r="G22" s="29" t="n">
        <x:f>'05_45기명단'!E34</x:f>
        <x:v>0</x:v>
      </x:c>
      <x:c r="H22" s="26" t="n">
        <x:f>G22-F22</x:f>
        <x:v>-1</x:v>
      </x:c>
    </x:row>
    <x:row r="23" ht="18" customHeight="1">
      <x:c r="A23" s="25"/>
      <x:c r="B23" s="26" t="n">
        <x:v>5</x:v>
      </x:c>
      <x:c r="C23" s="26" t="str">
        <x:v>팀장205</x:v>
      </x:c>
      <x:c r="D23" s="26" t="n">
        <x:v>1</x:v>
      </x:c>
      <x:c r="E23" s="26" t="n">
        <x:v>2</x:v>
      </x:c>
      <x:c r="F23" s="26" t="n">
        <x:v>0</x:v>
      </x:c>
      <x:c r="G23" s="29" t="n">
        <x:f>'05_45기명단'!F34</x:f>
        <x:v>1</x:v>
      </x:c>
      <x:c r="H23" s="26" t="n">
        <x:f>G23-F23</x:f>
        <x:v>1</x:v>
      </x:c>
    </x:row>
    <x:row r="24" ht="18" customHeight="1">
      <x:c r="A24" s="25"/>
      <x:c r="B24" s="26" t="n">
        <x:v>6</x:v>
      </x:c>
      <x:c r="C24" s="26" t="str">
        <x:v>팀장206</x:v>
      </x:c>
      <x:c r="D24" s="26" t="n">
        <x:v>3</x:v>
      </x:c>
      <x:c r="E24" s="26" t="n">
        <x:v>1</x:v>
      </x:c>
      <x:c r="F24" s="26" t="n">
        <x:v>2</x:v>
      </x:c>
      <x:c r="G24" s="29" t="n">
        <x:f>'05_45기명단'!G34</x:f>
        <x:v>2</x:v>
      </x:c>
      <x:c r="H24" s="26" t="n">
        <x:f>G24-F24</x:f>
        <x:v>0</x:v>
      </x:c>
    </x:row>
    <x:row r="25" ht="18" customHeight="1">
      <x:c r="A25" s="25"/>
      <x:c r="B25" s="26" t="n">
        <x:v>7</x:v>
      </x:c>
      <x:c r="C25" s="26" t="str">
        <x:v>팀장207</x:v>
      </x:c>
      <x:c r="D25" s="26" t="n">
        <x:v>2</x:v>
      </x:c>
      <x:c r="E25" s="26" t="n">
        <x:v>3</x:v>
      </x:c>
      <x:c r="F25" s="26" t="n">
        <x:v>4</x:v>
      </x:c>
      <x:c r="G25" s="29" t="n">
        <x:f>'05_45기명단'!B43</x:f>
        <x:v>3</x:v>
      </x:c>
      <x:c r="H25" s="26" t="n">
        <x:f>G25-F25</x:f>
        <x:v>-1</x:v>
      </x:c>
    </x:row>
    <x:row r="26" ht="18" customHeight="1">
      <x:c r="A26" s="25"/>
      <x:c r="B26" s="26" t="n">
        <x:v>8</x:v>
      </x:c>
      <x:c r="C26" s="26" t="str">
        <x:v>팀장208</x:v>
      </x:c>
      <x:c r="D26" s="26" t="n">
        <x:v>0</x:v>
      </x:c>
      <x:c r="E26" s="26" t="n">
        <x:v>1</x:v>
      </x:c>
      <x:c r="F26" s="26" t="n">
        <x:v>0</x:v>
      </x:c>
      <x:c r="G26" s="29" t="n">
        <x:f>'05_45기명단'!C43</x:f>
        <x:v>0</x:v>
      </x:c>
      <x:c r="H26" s="26" t="n">
        <x:f>G26-F26</x:f>
        <x:v>0</x:v>
      </x:c>
    </x:row>
    <x:row r="27" ht="18" customHeight="1">
      <x:c r="A27" s="25"/>
      <x:c r="B27" s="26" t="n">
        <x:v>9</x:v>
      </x:c>
      <x:c r="C27" s="26" t="str">
        <x:v>팀장209</x:v>
      </x:c>
      <x:c r="D27" s="26" t="n">
        <x:v>2</x:v>
      </x:c>
      <x:c r="E27" s="26" t="n">
        <x:v>0</x:v>
      </x:c>
      <x:c r="F27" s="26" t="n">
        <x:v>1</x:v>
      </x:c>
      <x:c r="G27" s="29" t="n">
        <x:f>'05_45기명단'!D43</x:f>
        <x:v>1</x:v>
      </x:c>
      <x:c r="H27" s="26" t="n">
        <x:f>G27-F27</x:f>
        <x:v>0</x:v>
      </x:c>
    </x:row>
    <x:row r="28" ht="18" customHeight="1">
      <x:c r="A28" s="25"/>
      <x:c r="B28" s="26" t="n">
        <x:v>10</x:v>
      </x:c>
      <x:c r="C28" s="26" t="str">
        <x:v>팀장210</x:v>
      </x:c>
      <x:c r="D28" s="26" t="n">
        <x:v>1</x:v>
      </x:c>
      <x:c r="E28" s="26" t="n">
        <x:v>2</x:v>
      </x:c>
      <x:c r="F28" s="26" t="n">
        <x:v>3</x:v>
      </x:c>
      <x:c r="G28" s="29" t="n">
        <x:f>'05_45기명단'!E43</x:f>
        <x:v>2</x:v>
      </x:c>
      <x:c r="H28" s="26" t="n">
        <x:f>G28-F28</x:f>
        <x:v>-1</x:v>
      </x:c>
    </x:row>
    <x:row r="29" ht="18" customHeight="1">
      <x:c r="A29" s="25"/>
      <x:c r="B29" s="26" t="n">
        <x:v>11</x:v>
      </x:c>
      <x:c r="C29" s="26" t="str">
        <x:v>팀장211</x:v>
      </x:c>
      <x:c r="D29" s="26" t="n">
        <x:v>3</x:v>
      </x:c>
      <x:c r="E29" s="26" t="n">
        <x:v>4</x:v>
      </x:c>
      <x:c r="F29" s="26" t="n">
        <x:v>2</x:v>
      </x:c>
      <x:c r="G29" s="29" t="n">
        <x:f>'05_45기명단'!F43</x:f>
        <x:v>3</x:v>
      </x:c>
      <x:c r="H29" s="26" t="n">
        <x:f>G29-F29</x:f>
        <x:v>1</x:v>
      </x:c>
    </x:row>
    <x:row r="30" ht="18" customHeight="1">
      <x:c r="A30" s="25"/>
      <x:c r="B30" s="26" t="n">
        <x:v>12</x:v>
      </x:c>
      <x:c r="C30" s="26" t="str">
        <x:v>팀장212</x:v>
      </x:c>
      <x:c r="D30" s="26" t="n">
        <x:v>1</x:v>
      </x:c>
      <x:c r="E30" s="26" t="n">
        <x:v>0</x:v>
      </x:c>
      <x:c r="F30" s="26" t="n">
        <x:v>0</x:v>
      </x:c>
      <x:c r="G30" s="29" t="n">
        <x:f>'05_45기명단'!G43</x:f>
        <x:v>0</x:v>
      </x:c>
      <x:c r="H30" s="26" t="n">
        <x:f>G30-F30</x:f>
        <x:v>0</x:v>
      </x:c>
    </x:row>
    <x:row r="31" ht="18" customHeight="1">
      <x:c r="A31" s="30" t="str">
        <x:v>2교구 총계</x:v>
      </x:c>
      <x:c r="B31" s="30"/>
      <x:c r="C31" s="30"/>
      <x:c r="D31" s="30" t="n">
        <x:f>SUM(D19:D30)</x:f>
        <x:v>19</x:v>
      </x:c>
      <x:c r="E31" s="30" t="n">
        <x:f>SUM(E19:E30)</x:f>
        <x:v>19</x:v>
      </x:c>
      <x:c r="F31" s="30" t="n">
        <x:f>SUM(F19:F30)</x:f>
        <x:v>19</x:v>
      </x:c>
      <x:c r="G31" s="31" t="n">
        <x:f>SUM(G19:G30)</x:f>
        <x:v>18</x:v>
      </x:c>
      <x:c r="H31" s="30" t="n">
        <x:f>SUM(H19:H30)</x:f>
        <x:v>-1</x:v>
      </x:c>
    </x:row>
    <x:row r="32" ht="18" customHeight="1">
      <x:c r="A32" s="23" t="str">
        <x:v>교구</x:v>
      </x:c>
      <x:c r="B32" s="23" t="str">
        <x:v>팀</x:v>
      </x:c>
      <x:c r="C32" s="23" t="str">
        <x:v>팀장</x:v>
      </x:c>
      <x:c r="D32" s="24" t="n">
        <x:v>46249</x:v>
      </x:c>
      <x:c r="E32" s="24" t="n">
        <x:v>46256</x:v>
      </x:c>
      <x:c r="F32" s="24" t="n">
        <x:v>46263</x:v>
      </x:c>
      <x:c r="G32" s="28" t="n">
        <x:v>46270</x:v>
      </x:c>
      <x:c r="H32" s="23" t="str">
        <x:v>지난주 대비</x:v>
      </x:c>
    </x:row>
    <x:row r="33" ht="18" customHeight="1">
      <x:c r="A33" s="25" t="str">
        <x:v>3교구
담당3
목사님</x:v>
      </x:c>
      <x:c r="B33" s="26" t="n">
        <x:v>1</x:v>
      </x:c>
      <x:c r="C33" s="26" t="str">
        <x:v>팀장301</x:v>
      </x:c>
      <x:c r="D33" s="26" t="n">
        <x:v>1</x:v>
      </x:c>
      <x:c r="E33" s="26" t="n">
        <x:v>2</x:v>
      </x:c>
      <x:c r="F33" s="26" t="n">
        <x:v>3</x:v>
      </x:c>
      <x:c r="G33" s="29" t="n">
        <x:f>'05_45기명단'!B52</x:f>
        <x:v>2</x:v>
      </x:c>
      <x:c r="H33" s="26" t="n">
        <x:f>G33-F33</x:f>
        <x:v>-1</x:v>
      </x:c>
    </x:row>
    <x:row r="34" ht="18" customHeight="1">
      <x:c r="A34" s="25"/>
      <x:c r="B34" s="26" t="n">
        <x:v>2</x:v>
      </x:c>
      <x:c r="C34" s="26" t="str">
        <x:v>팀장302</x:v>
      </x:c>
      <x:c r="D34" s="26" t="n">
        <x:v>3</x:v>
      </x:c>
      <x:c r="E34" s="26" t="n">
        <x:v>4</x:v>
      </x:c>
      <x:c r="F34" s="26" t="n">
        <x:v>2</x:v>
      </x:c>
      <x:c r="G34" s="29" t="n">
        <x:f>'05_45기명단'!C52</x:f>
        <x:v>3</x:v>
      </x:c>
      <x:c r="H34" s="26" t="n">
        <x:f>G34-F34</x:f>
        <x:v>1</x:v>
      </x:c>
    </x:row>
    <x:row r="35" ht="18" customHeight="1">
      <x:c r="A35" s="25"/>
      <x:c r="B35" s="26" t="n">
        <x:v>3</x:v>
      </x:c>
      <x:c r="C35" s="26" t="str">
        <x:v>팀장303</x:v>
      </x:c>
      <x:c r="D35" s="26" t="n">
        <x:v>1</x:v>
      </x:c>
      <x:c r="E35" s="26" t="n">
        <x:v>0</x:v>
      </x:c>
      <x:c r="F35" s="26" t="n">
        <x:v>0</x:v>
      </x:c>
      <x:c r="G35" s="29" t="n">
        <x:f>'05_45기명단'!D52</x:f>
        <x:v>0</x:v>
      </x:c>
      <x:c r="H35" s="26" t="n">
        <x:f>G35-F35</x:f>
        <x:v>0</x:v>
      </x:c>
    </x:row>
    <x:row r="36" ht="18" customHeight="1">
      <x:c r="A36" s="25"/>
      <x:c r="B36" s="26" t="n">
        <x:v>4</x:v>
      </x:c>
      <x:c r="C36" s="26" t="str">
        <x:v>팀장304</x:v>
      </x:c>
      <x:c r="D36" s="26" t="n">
        <x:v>0</x:v>
      </x:c>
      <x:c r="E36" s="26" t="n">
        <x:v>1</x:v>
      </x:c>
      <x:c r="F36" s="26" t="n">
        <x:v>2</x:v>
      </x:c>
      <x:c r="G36" s="29" t="n">
        <x:f>'05_45기명단'!E52</x:f>
        <x:v>1</x:v>
      </x:c>
      <x:c r="H36" s="26" t="n">
        <x:f>G36-F36</x:f>
        <x:v>-1</x:v>
      </x:c>
    </x:row>
    <x:row r="37" ht="18" customHeight="1">
      <x:c r="A37" s="25"/>
      <x:c r="B37" s="26" t="n">
        <x:v>5</x:v>
      </x:c>
      <x:c r="C37" s="26" t="str">
        <x:v>팀장305</x:v>
      </x:c>
      <x:c r="D37" s="26" t="n">
        <x:v>2</x:v>
      </x:c>
      <x:c r="E37" s="26" t="n">
        <x:v>3</x:v>
      </x:c>
      <x:c r="F37" s="26" t="n">
        <x:v>1</x:v>
      </x:c>
      <x:c r="G37" s="29" t="n">
        <x:f>'05_45기명단'!F52</x:f>
        <x:v>2</x:v>
      </x:c>
      <x:c r="H37" s="26" t="n">
        <x:f>G37-F37</x:f>
        <x:v>1</x:v>
      </x:c>
    </x:row>
    <x:row r="38" ht="18" customHeight="1">
      <x:c r="A38" s="25"/>
      <x:c r="B38" s="26" t="n">
        <x:v>6</x:v>
      </x:c>
      <x:c r="C38" s="26" t="str">
        <x:v>팀장306</x:v>
      </x:c>
      <x:c r="D38" s="26" t="n">
        <x:v>4</x:v>
      </x:c>
      <x:c r="E38" s="26" t="n">
        <x:v>2</x:v>
      </x:c>
      <x:c r="F38" s="26" t="n">
        <x:v>3</x:v>
      </x:c>
      <x:c r="G38" s="29" t="n">
        <x:f>'05_45기명단'!G52</x:f>
        <x:v>3</x:v>
      </x:c>
      <x:c r="H38" s="26" t="n">
        <x:f>G38-F38</x:f>
        <x:v>0</x:v>
      </x:c>
    </x:row>
    <x:row r="39" ht="18" customHeight="1">
      <x:c r="A39" s="25"/>
      <x:c r="B39" s="26" t="n">
        <x:v>7</x:v>
      </x:c>
      <x:c r="C39" s="26" t="str">
        <x:v>팀장307</x:v>
      </x:c>
      <x:c r="D39" s="26" t="n">
        <x:v>0</x:v>
      </x:c>
      <x:c r="E39" s="26" t="n">
        <x:v>0</x:v>
      </x:c>
      <x:c r="F39" s="26" t="n">
        <x:v>1</x:v>
      </x:c>
      <x:c r="G39" s="29" t="n">
        <x:f>'05_45기명단'!B61</x:f>
        <x:v>0</x:v>
      </x:c>
      <x:c r="H39" s="26" t="n">
        <x:f>G39-F39</x:f>
        <x:v>-1</x:v>
      </x:c>
    </x:row>
    <x:row r="40" ht="18" customHeight="1">
      <x:c r="A40" s="25"/>
      <x:c r="B40" s="26" t="n">
        <x:v>8</x:v>
      </x:c>
      <x:c r="C40" s="26" t="str">
        <x:v>팀장308</x:v>
      </x:c>
      <x:c r="D40" s="26" t="n">
        <x:v>1</x:v>
      </x:c>
      <x:c r="E40" s="26" t="n">
        <x:v>2</x:v>
      </x:c>
      <x:c r="F40" s="26" t="n">
        <x:v>0</x:v>
      </x:c>
      <x:c r="G40" s="29" t="n">
        <x:f>'05_45기명단'!C61</x:f>
        <x:v>1</x:v>
      </x:c>
      <x:c r="H40" s="26" t="n">
        <x:f>G40-F40</x:f>
        <x:v>1</x:v>
      </x:c>
    </x:row>
    <x:row r="41" ht="18" customHeight="1">
      <x:c r="A41" s="25"/>
      <x:c r="B41" s="26" t="n">
        <x:v>9</x:v>
      </x:c>
      <x:c r="C41" s="26" t="str">
        <x:v>팀장309</x:v>
      </x:c>
      <x:c r="D41" s="26" t="n">
        <x:v>3</x:v>
      </x:c>
      <x:c r="E41" s="26" t="n">
        <x:v>1</x:v>
      </x:c>
      <x:c r="F41" s="26" t="n">
        <x:v>2</x:v>
      </x:c>
      <x:c r="G41" s="29" t="n">
        <x:f>'05_45기명단'!D61</x:f>
        <x:v>2</x:v>
      </x:c>
      <x:c r="H41" s="26" t="n">
        <x:f>G41-F41</x:f>
        <x:v>0</x:v>
      </x:c>
    </x:row>
    <x:row r="42" ht="18" customHeight="1">
      <x:c r="A42" s="25"/>
      <x:c r="B42" s="26" t="n">
        <x:v>10</x:v>
      </x:c>
      <x:c r="C42" s="26" t="str">
        <x:v>팀장310</x:v>
      </x:c>
      <x:c r="D42" s="26" t="n">
        <x:v>2</x:v>
      </x:c>
      <x:c r="E42" s="26" t="n">
        <x:v>3</x:v>
      </x:c>
      <x:c r="F42" s="26" t="n">
        <x:v>4</x:v>
      </x:c>
      <x:c r="G42" s="29" t="n">
        <x:f>'05_45기명단'!E61</x:f>
        <x:v>3</x:v>
      </x:c>
      <x:c r="H42" s="26" t="n">
        <x:f>G42-F42</x:f>
        <x:v>-1</x:v>
      </x:c>
    </x:row>
    <x:row r="43" ht="18" customHeight="1">
      <x:c r="A43" s="25"/>
      <x:c r="B43" s="26" t="n">
        <x:v>11</x:v>
      </x:c>
      <x:c r="C43" s="26" t="str">
        <x:v>팀장311</x:v>
      </x:c>
      <x:c r="D43" s="26" t="n">
        <x:v>0</x:v>
      </x:c>
      <x:c r="E43" s="26" t="n">
        <x:v>1</x:v>
      </x:c>
      <x:c r="F43" s="26" t="n">
        <x:v>0</x:v>
      </x:c>
      <x:c r="G43" s="29" t="n">
        <x:f>'05_45기명단'!F61</x:f>
        <x:v>0</x:v>
      </x:c>
      <x:c r="H43" s="26" t="n">
        <x:f>G43-F43</x:f>
        <x:v>0</x:v>
      </x:c>
    </x:row>
    <x:row r="44" ht="18" customHeight="1">
      <x:c r="A44" s="25"/>
      <x:c r="B44" s="26" t="n">
        <x:v>12</x:v>
      </x:c>
      <x:c r="C44" s="26" t="str">
        <x:v>팀장312</x:v>
      </x:c>
      <x:c r="D44" s="26" t="n">
        <x:v>2</x:v>
      </x:c>
      <x:c r="E44" s="26" t="n">
        <x:v>0</x:v>
      </x:c>
      <x:c r="F44" s="26" t="n">
        <x:v>1</x:v>
      </x:c>
      <x:c r="G44" s="29" t="n">
        <x:f>'05_45기명단'!G61</x:f>
        <x:v>1</x:v>
      </x:c>
      <x:c r="H44" s="26" t="n">
        <x:f>G44-F44</x:f>
        <x:v>0</x:v>
      </x:c>
    </x:row>
    <x:row r="45" ht="18" customHeight="1">
      <x:c r="A45" s="30" t="str">
        <x:v>3교구 총계</x:v>
      </x:c>
      <x:c r="B45" s="30"/>
      <x:c r="C45" s="30"/>
      <x:c r="D45" s="30" t="n">
        <x:f>SUM(D33:D44)</x:f>
        <x:v>19</x:v>
      </x:c>
      <x:c r="E45" s="30" t="n">
        <x:f>SUM(E33:E44)</x:f>
        <x:v>19</x:v>
      </x:c>
      <x:c r="F45" s="30" t="n">
        <x:f>SUM(F33:F44)</x:f>
        <x:v>19</x:v>
      </x:c>
      <x:c r="G45" s="31" t="n">
        <x:f>SUM(G33:G44)</x:f>
        <x:v>18</x:v>
      </x:c>
      <x:c r="H45" s="30" t="n">
        <x:f>SUM(H33:H44)</x:f>
        <x:v>-1</x:v>
      </x:c>
    </x:row>
    <x:row r="46" ht="18" customHeight="1">
      <x:c r="A46" s="23" t="str">
        <x:v>45기 인원 총계</x:v>
      </x:c>
      <x:c r="B46" s="23"/>
      <x:c r="C46" s="23"/>
      <x:c r="D46" s="23" t="n">
        <x:f>D17+D31+D45</x:f>
        <x:v>57</x:v>
      </x:c>
      <x:c r="E46" s="23" t="n">
        <x:f>E17+E31+E45</x:f>
        <x:v>57</x:v>
      </x:c>
      <x:c r="F46" s="23" t="n">
        <x:f>F17+F31+F45</x:f>
        <x:v>57</x:v>
      </x:c>
      <x:c r="G46" s="31" t="n">
        <x:f>G17+G31+G45</x:f>
        <x:v>54</x:v>
      </x:c>
      <x:c r="H46" s="23" t="n">
        <x:f>H17+H31+H45</x:f>
        <x:v>-3</x:v>
      </x:c>
    </x:row>
    <x:row r="47" ht="18" customHeight="1">
      <x:c r="A47" s="4"/>
      <x:c r="B47" s="4"/>
      <x:c r="C47" s="4"/>
      <x:c r="D47" s="4"/>
      <x:c r="E47" s="4"/>
      <x:c r="F47" s="4"/>
      <x:c r="G47" s="4"/>
      <x:c r="H47" s="4"/>
    </x:row>
    <x:row r="48" ht="18" customHeight="1">
      <x:c r="A48" s="4"/>
      <x:c r="B48" s="4"/>
      <x:c r="C48" s="4"/>
      <x:c r="D48" s="4"/>
      <x:c r="E48" s="4"/>
      <x:c r="F48" s="4"/>
      <x:c r="G48" s="4"/>
      <x:c r="H48" s="4"/>
    </x:row>
    <x:row r="49" ht="18" customHeight="1">
      <x:c r="A49" s="4"/>
      <x:c r="B49" s="4"/>
      <x:c r="C49" s="4"/>
      <x:c r="D49" s="4"/>
      <x:c r="E49" s="4"/>
      <x:c r="F49" s="4"/>
      <x:c r="G49" s="4"/>
      <x:c r="H49" s="4"/>
    </x:row>
    <x:row r="50" ht="18" customHeight="1">
      <x:c r="A50" s="4"/>
      <x:c r="B50" s="4"/>
      <x:c r="C50" s="4"/>
      <x:c r="D50" s="4"/>
      <x:c r="E50" s="4"/>
      <x:c r="F50" s="4"/>
      <x:c r="G50" s="4"/>
      <x:c r="H50" s="4"/>
    </x:row>
    <x:row r="51" ht="18" customHeight="1">
      <x:c r="A51" s="4"/>
      <x:c r="B51" s="4"/>
      <x:c r="C51" s="4"/>
      <x:c r="D51" s="4"/>
      <x:c r="E51" s="4"/>
      <x:c r="F51" s="4"/>
      <x:c r="G51" s="4"/>
      <x:c r="H51" s="4"/>
    </x:row>
    <x:row r="52" ht="18" customHeight="1">
      <x:c r="A52" s="4"/>
      <x:c r="B52" s="4"/>
      <x:c r="C52" s="4"/>
      <x:c r="D52" s="4"/>
      <x:c r="E52" s="4"/>
      <x:c r="F52" s="4"/>
      <x:c r="G52" s="4"/>
      <x:c r="H52" s="4"/>
    </x:row>
    <x:row r="53" ht="18" customHeight="1">
      <x:c r="A53" s="4"/>
      <x:c r="B53" s="4"/>
      <x:c r="C53" s="4"/>
      <x:c r="D53" s="4"/>
      <x:c r="E53" s="4"/>
      <x:c r="F53" s="4"/>
      <x:c r="G53" s="4"/>
      <x:c r="H53" s="4"/>
    </x:row>
  </x:sheetData>
  <x:mergeCells>
    <x:mergeCell ref="A1:C2"/>
    <x:mergeCell ref="D1:H2"/>
    <x:mergeCell ref="A3:H3"/>
    <x:mergeCell ref="A5:A16"/>
    <x:mergeCell ref="A17:C17"/>
    <x:mergeCell ref="A19:A30"/>
    <x:mergeCell ref="A31:C31"/>
    <x:mergeCell ref="A33:A44"/>
    <x:mergeCell ref="A45:C45"/>
    <x:mergeCell ref="A46:C46"/>
  </x:mergeCells>
  <x:conditionalFormatting sqref="H5:H17">
    <x:cfRule type="cellIs" dxfId="8" priority="1" operator="greaterThan">
      <x:formula>0</x:formula>
    </x:cfRule>
    <x:cfRule type="cellIs" dxfId="9" priority="2" operator="lessThan">
      <x:formula>0</x:formula>
    </x:cfRule>
  </x:conditionalFormatting>
  <x:conditionalFormatting sqref="H19:H31">
    <x:cfRule type="cellIs" dxfId="10" priority="3" operator="greaterThan">
      <x:formula>0</x:formula>
    </x:cfRule>
    <x:cfRule type="cellIs" dxfId="11" priority="4" operator="lessThan">
      <x:formula>0</x:formula>
    </x:cfRule>
  </x:conditionalFormatting>
  <x:conditionalFormatting sqref="H33:H45">
    <x:cfRule type="cellIs" dxfId="12" priority="5" operator="greaterThan">
      <x:formula>0</x:formula>
    </x:cfRule>
    <x:cfRule type="cellIs" dxfId="13" priority="6" operator="lessThan">
      <x:formula>0</x:formula>
    </x:cfRule>
  </x:conditionalFormatting>
  <x:conditionalFormatting sqref="H46:H46">
    <x:cfRule type="cellIs" dxfId="14" priority="7" operator="greaterThan">
      <x:formula>0</x:formula>
    </x:cfRule>
    <x:cfRule type="cellIs" dxfId="15" priority="8" operator="lessThan">
      <x:formula>0</x:formula>
    </x:cfRule>
  </x:conditionalFormatting>
  <x:printOptions horizontalCentered="1"/>
  <x:pageMargins left="0.25" right="0.25" top="0.3" bottom="0.3" header="0.1" footer="0.15"/>
  <x:pageSetup paperSize="9" orientation="portrait" fitToWidth="1" fitToHeight="1"/>
  <x:headerFooter>
    <x:oddFooter>&amp;C6 / 9</x:oddFooter>
  </x:headerFooter>
</x:worksheet>
</file>

<file path=xl/worksheets/sheet7.xml><?xml version="1.0" encoding="utf-8"?>
<x:worksheet xmlns:x="http://schemas.openxmlformats.org/spreadsheetml/2006/main">
  <x:sheetPr>
    <x:tabColor rgb="FF657567"/>
    <x:pageSetUpPr fitToPage="1"/>
  </x:sheetPr>
  <x:sheetViews>
    <x:sheetView showGridLines="0" workbookViewId="0"/>
  </x:sheetViews>
  <x:sheetFormatPr defaultRowHeight="15"/>
  <x:cols>
    <x:col min="1" max="1" width="12.890000343322754" hidden="0" customWidth="1"/>
    <x:col min="2" max="2" width="11.109999656677246" hidden="0" customWidth="1"/>
    <x:col min="3" max="3" width="11.109999656677246" hidden="0" customWidth="1"/>
    <x:col min="4" max="4" width="11.109999656677246" hidden="0" customWidth="1"/>
    <x:col min="5" max="5" width="11.109999656677246" hidden="0" customWidth="1"/>
    <x:col min="6" max="6" width="11.109999656677246" hidden="0" customWidth="1"/>
    <x:col min="7" max="7" width="11.109999656677246" hidden="0" customWidth="1"/>
  </x:cols>
  <x:sheetData>
    <x:row r="1" ht="17.25" customHeight="1">
      <x:c r="A1" s="10" t="n">
        <x:v>46270</x:v>
      </x:c>
      <x:c r="B1" s="11"/>
      <x:c r="C1" s="11"/>
      <x:c r="D1" s="12" t="str">
        <x:v>NEWSONG J 대학부 46기 명단</x:v>
      </x:c>
      <x:c r="E1" s="12"/>
      <x:c r="F1" s="12"/>
      <x:c r="G1" s="13"/>
    </x:row>
    <x:row r="2" ht="17.25" customHeight="1">
      <x:c r="A2" s="14"/>
      <x:c r="B2" s="15"/>
      <x:c r="C2" s="15"/>
      <x:c r="D2" s="16"/>
      <x:c r="E2" s="16"/>
      <x:c r="F2" s="16"/>
      <x:c r="G2" s="17"/>
    </x:row>
    <x:row r="3" ht="17.25" customHeight="1">
      <x:c r="A3" s="19" t="str">
        <x:v>디자인 검토용 · 모든 숫자와 명단은 가상 데이터</x:v>
      </x:c>
      <x:c r="B3" s="19"/>
      <x:c r="C3" s="19"/>
      <x:c r="D3" s="19"/>
      <x:c r="E3" s="19"/>
      <x:c r="F3" s="19"/>
      <x:c r="G3" s="19"/>
    </x:row>
    <x:row r="4" ht="17.25" customHeight="1">
      <x:c r="A4" s="4"/>
      <x:c r="B4" s="4"/>
      <x:c r="C4" s="4"/>
      <x:c r="D4" s="4"/>
      <x:c r="E4" s="4"/>
      <x:c r="F4" s="4"/>
      <x:c r="G4" s="4"/>
    </x:row>
    <x:row r="5" ht="17.25" customHeight="1">
      <x:c r="A5" s="23" t="str">
        <x:v>인원 통계</x:v>
      </x:c>
      <x:c r="B5" s="23" t="str">
        <x:v>총계</x:v>
      </x:c>
      <x:c r="C5" s="23" t="str">
        <x:v>1교구</x:v>
      </x:c>
      <x:c r="D5" s="23" t="str">
        <x:v>2교구</x:v>
      </x:c>
      <x:c r="E5" s="23" t="str">
        <x:v>3교구</x:v>
      </x:c>
      <x:c r="F5" s="42" t="str">
        <x:v>출석 명단</x:v>
      </x:c>
      <x:c r="G5" s="42"/>
    </x:row>
    <x:row r="6" ht="17.25" customHeight="1">
      <x:c r="A6" s="23"/>
      <x:c r="B6" s="26" t="n">
        <x:f>SUM(C6:E6)</x:f>
        <x:v>54</x:v>
      </x:c>
      <x:c r="C6" s="26" t="n">
        <x:f>SUM(B16:G16,B25:G25)</x:f>
        <x:v>18</x:v>
      </x:c>
      <x:c r="D6" s="26" t="n">
        <x:f>SUM(B34:G34,B43:G43)</x:f>
        <x:v>18</x:v>
      </x:c>
      <x:c r="E6" s="26" t="n">
        <x:f>SUM(B52:G52,B61:G61)</x:f>
        <x:v>18</x:v>
      </x:c>
      <x:c r="F6" s="42"/>
      <x:c r="G6" s="42"/>
    </x:row>
    <x:row r="7" ht="17.25" customHeight="1">
      <x:c r="A7" s="4"/>
      <x:c r="B7" s="4"/>
      <x:c r="C7" s="4"/>
      <x:c r="D7" s="4"/>
      <x:c r="E7" s="4"/>
      <x:c r="F7" s="4"/>
      <x:c r="G7" s="4"/>
    </x:row>
    <x:row r="8" ht="17.25" customHeight="1">
      <x:c r="A8" s="23" t="str">
        <x:v>교구</x:v>
      </x:c>
      <x:c r="B8" s="23" t="str">
        <x:v>1팀</x:v>
      </x:c>
      <x:c r="C8" s="23" t="str">
        <x:v>2팀</x:v>
      </x:c>
      <x:c r="D8" s="23" t="str">
        <x:v>3팀</x:v>
      </x:c>
      <x:c r="E8" s="23" t="str">
        <x:v>4팀</x:v>
      </x:c>
      <x:c r="F8" s="23" t="str">
        <x:v>5팀</x:v>
      </x:c>
      <x:c r="G8" s="23" t="str">
        <x:v>6팀</x:v>
      </x:c>
    </x:row>
    <x:row r="9" ht="17.25" customHeight="1">
      <x:c r="A9" s="25" t="str">
        <x:v>1교구
담당1
목사님</x:v>
      </x:c>
      <x:c r="B9" s="26" t="str">
        <x:v>가상461011</x:v>
      </x:c>
      <x:c r="C9" s="26" t="str">
        <x:v>가상461021</x:v>
      </x:c>
      <x:c r="D9" s="26" t="str">
        <x:v>가상461031</x:v>
      </x:c>
      <x:c r="E9" s="26"/>
      <x:c r="F9" s="26" t="str">
        <x:v>가상461051</x:v>
      </x:c>
      <x:c r="G9" s="26" t="str">
        <x:v>가상461061</x:v>
      </x:c>
    </x:row>
    <x:row r="10" ht="17.25" customHeight="1">
      <x:c r="A10" s="25"/>
      <x:c r="B10" s="26"/>
      <x:c r="C10" s="26" t="str">
        <x:v>가상461022</x:v>
      </x:c>
      <x:c r="D10" s="26" t="str">
        <x:v>가상461032</x:v>
      </x:c>
      <x:c r="E10" s="26"/>
      <x:c r="F10" s="26"/>
      <x:c r="G10" s="26" t="str">
        <x:v>가상461062</x:v>
      </x:c>
    </x:row>
    <x:row r="11" ht="17.25" customHeight="1">
      <x:c r="A11" s="25"/>
      <x:c r="B11" s="26"/>
      <x:c r="C11" s="26"/>
      <x:c r="D11" s="26" t="str">
        <x:v>가상461033</x:v>
      </x:c>
      <x:c r="E11" s="26"/>
      <x:c r="F11" s="26"/>
      <x:c r="G11" s="26"/>
    </x:row>
    <x:row r="12" ht="17.25" customHeight="1">
      <x:c r="A12" s="25"/>
      <x:c r="B12" s="26"/>
      <x:c r="C12" s="26"/>
      <x:c r="D12" s="26"/>
      <x:c r="E12" s="26"/>
      <x:c r="F12" s="26"/>
      <x:c r="G12" s="26"/>
    </x:row>
    <x:row r="13" ht="17.25" customHeight="1">
      <x:c r="A13" s="25"/>
      <x:c r="B13" s="26"/>
      <x:c r="C13" s="26"/>
      <x:c r="D13" s="26"/>
      <x:c r="E13" s="26"/>
      <x:c r="F13" s="26"/>
      <x:c r="G13" s="26"/>
    </x:row>
    <x:row r="14" ht="17.25" customHeight="1">
      <x:c r="A14" s="25"/>
      <x:c r="B14" s="26"/>
      <x:c r="C14" s="26"/>
      <x:c r="D14" s="26"/>
      <x:c r="E14" s="26"/>
      <x:c r="F14" s="26"/>
      <x:c r="G14" s="26"/>
    </x:row>
    <x:row r="15" ht="17.25" customHeight="1">
      <x:c r="A15" s="25"/>
      <x:c r="B15" s="26"/>
      <x:c r="C15" s="26"/>
      <x:c r="D15" s="26"/>
      <x:c r="E15" s="26"/>
      <x:c r="F15" s="26"/>
      <x:c r="G15" s="26"/>
    </x:row>
    <x:row r="16" ht="17.25" customHeight="1">
      <x:c r="A16" s="25"/>
      <x:c r="B16" s="42" t="n">
        <x:f>COUNTA(B9:B15)</x:f>
        <x:v>1</x:v>
      </x:c>
      <x:c r="C16" s="42" t="n">
        <x:f>COUNTA(C9:C15)</x:f>
        <x:v>2</x:v>
      </x:c>
      <x:c r="D16" s="42" t="n">
        <x:f>COUNTA(D9:D15)</x:f>
        <x:v>3</x:v>
      </x:c>
      <x:c r="E16" s="42" t="n">
        <x:f>COUNTA(E9:E15)</x:f>
        <x:v>0</x:v>
      </x:c>
      <x:c r="F16" s="42" t="n">
        <x:f>COUNTA(F9:F15)</x:f>
        <x:v>1</x:v>
      </x:c>
      <x:c r="G16" s="42" t="n">
        <x:f>COUNTA(G9:G15)</x:f>
        <x:v>2</x:v>
      </x:c>
    </x:row>
    <x:row r="17" ht="17.25" customHeight="1">
      <x:c r="A17" s="37" t="str">
        <x:v>교구</x:v>
      </x:c>
      <x:c r="B17" s="23" t="str">
        <x:v>7팀</x:v>
      </x:c>
      <x:c r="C17" s="23" t="str">
        <x:v>8팀</x:v>
      </x:c>
      <x:c r="D17" s="23" t="str">
        <x:v>9팀</x:v>
      </x:c>
      <x:c r="E17" s="23" t="str">
        <x:v>10팀</x:v>
      </x:c>
      <x:c r="F17" s="23" t="str">
        <x:v>11팀</x:v>
      </x:c>
      <x:c r="G17" s="23" t="str">
        <x:v>12팀</x:v>
      </x:c>
    </x:row>
    <x:row r="18" ht="17.25" customHeight="1">
      <x:c r="A18" s="25"/>
      <x:c r="B18" s="26" t="str">
        <x:v>가상461071</x:v>
      </x:c>
      <x:c r="C18" s="26"/>
      <x:c r="D18" s="26" t="str">
        <x:v>가상461091</x:v>
      </x:c>
      <x:c r="E18" s="26" t="str">
        <x:v>가상461101</x:v>
      </x:c>
      <x:c r="F18" s="26" t="str">
        <x:v>가상461111</x:v>
      </x:c>
      <x:c r="G18" s="26"/>
    </x:row>
    <x:row r="19" ht="17.25" customHeight="1">
      <x:c r="A19" s="25"/>
      <x:c r="B19" s="26" t="str">
        <x:v>가상461072</x:v>
      </x:c>
      <x:c r="C19" s="26"/>
      <x:c r="D19" s="26"/>
      <x:c r="E19" s="26" t="str">
        <x:v>가상461102</x:v>
      </x:c>
      <x:c r="F19" s="26" t="str">
        <x:v>가상461112</x:v>
      </x:c>
      <x:c r="G19" s="26"/>
    </x:row>
    <x:row r="20" ht="17.25" customHeight="1">
      <x:c r="A20" s="25"/>
      <x:c r="B20" s="26" t="str">
        <x:v>가상461073</x:v>
      </x:c>
      <x:c r="C20" s="26"/>
      <x:c r="D20" s="26"/>
      <x:c r="E20" s="26"/>
      <x:c r="F20" s="26" t="str">
        <x:v>가상461113</x:v>
      </x:c>
      <x:c r="G20" s="26"/>
    </x:row>
    <x:row r="21" ht="17.25" customHeight="1">
      <x:c r="A21" s="25"/>
      <x:c r="B21" s="26"/>
      <x:c r="C21" s="26"/>
      <x:c r="D21" s="26"/>
      <x:c r="E21" s="26"/>
      <x:c r="F21" s="26"/>
      <x:c r="G21" s="26"/>
    </x:row>
    <x:row r="22" ht="17.25" customHeight="1">
      <x:c r="A22" s="25"/>
      <x:c r="B22" s="26"/>
      <x:c r="C22" s="26"/>
      <x:c r="D22" s="26"/>
      <x:c r="E22" s="26"/>
      <x:c r="F22" s="26"/>
      <x:c r="G22" s="26"/>
    </x:row>
    <x:row r="23" ht="17.25" customHeight="1">
      <x:c r="A23" s="25"/>
      <x:c r="B23" s="26"/>
      <x:c r="C23" s="26"/>
      <x:c r="D23" s="26"/>
      <x:c r="E23" s="26"/>
      <x:c r="F23" s="26"/>
      <x:c r="G23" s="26"/>
    </x:row>
    <x:row r="24" ht="17.25" customHeight="1">
      <x:c r="A24" s="25"/>
      <x:c r="B24" s="26"/>
      <x:c r="C24" s="26"/>
      <x:c r="D24" s="26"/>
      <x:c r="E24" s="26"/>
      <x:c r="F24" s="26"/>
      <x:c r="G24" s="26"/>
    </x:row>
    <x:row r="25" ht="17.25" customHeight="1">
      <x:c r="A25" s="25"/>
      <x:c r="B25" s="42" t="n">
        <x:f>COUNTA(B18:B24)</x:f>
        <x:v>3</x:v>
      </x:c>
      <x:c r="C25" s="42" t="n">
        <x:f>COUNTA(C18:C24)</x:f>
        <x:v>0</x:v>
      </x:c>
      <x:c r="D25" s="42" t="n">
        <x:f>COUNTA(D18:D24)</x:f>
        <x:v>1</x:v>
      </x:c>
      <x:c r="E25" s="42" t="n">
        <x:f>COUNTA(E18:E24)</x:f>
        <x:v>2</x:v>
      </x:c>
      <x:c r="F25" s="42" t="n">
        <x:f>COUNTA(F18:F24)</x:f>
        <x:v>3</x:v>
      </x:c>
      <x:c r="G25" s="42" t="n">
        <x:f>COUNTA(G18:G24)</x:f>
        <x:v>0</x:v>
      </x:c>
    </x:row>
    <x:row r="26" ht="17.25" customHeight="1">
      <x:c r="A26" s="23" t="str">
        <x:v>교구</x:v>
      </x:c>
      <x:c r="B26" s="23" t="str">
        <x:v>1팀</x:v>
      </x:c>
      <x:c r="C26" s="23" t="str">
        <x:v>2팀</x:v>
      </x:c>
      <x:c r="D26" s="23" t="str">
        <x:v>3팀</x:v>
      </x:c>
      <x:c r="E26" s="23" t="str">
        <x:v>4팀</x:v>
      </x:c>
      <x:c r="F26" s="23" t="str">
        <x:v>5팀</x:v>
      </x:c>
      <x:c r="G26" s="23" t="str">
        <x:v>6팀</x:v>
      </x:c>
    </x:row>
    <x:row r="27" ht="17.25" customHeight="1">
      <x:c r="A27" s="25" t="str">
        <x:v>2교구
담당2
목사님</x:v>
      </x:c>
      <x:c r="B27" s="26" t="str">
        <x:v>가상462011</x:v>
      </x:c>
      <x:c r="C27" s="26" t="str">
        <x:v>가상462021</x:v>
      </x:c>
      <x:c r="D27" s="26"/>
      <x:c r="E27" s="26" t="str">
        <x:v>가상462041</x:v>
      </x:c>
      <x:c r="F27" s="26" t="str">
        <x:v>가상462051</x:v>
      </x:c>
      <x:c r="G27" s="26" t="str">
        <x:v>가상462061</x:v>
      </x:c>
    </x:row>
    <x:row r="28" ht="17.25" customHeight="1">
      <x:c r="A28" s="25"/>
      <x:c r="B28" s="26" t="str">
        <x:v>가상462012</x:v>
      </x:c>
      <x:c r="C28" s="26" t="str">
        <x:v>가상462022</x:v>
      </x:c>
      <x:c r="D28" s="26"/>
      <x:c r="E28" s="26"/>
      <x:c r="F28" s="26" t="str">
        <x:v>가상462052</x:v>
      </x:c>
      <x:c r="G28" s="26" t="str">
        <x:v>가상462062</x:v>
      </x:c>
    </x:row>
    <x:row r="29" ht="17.25" customHeight="1">
      <x:c r="A29" s="25"/>
      <x:c r="B29" s="26"/>
      <x:c r="C29" s="26" t="str">
        <x:v>가상462023</x:v>
      </x:c>
      <x:c r="D29" s="26"/>
      <x:c r="E29" s="26"/>
      <x:c r="F29" s="26"/>
      <x:c r="G29" s="26" t="str">
        <x:v>가상462063</x:v>
      </x:c>
    </x:row>
    <x:row r="30" ht="17.25" customHeight="1">
      <x:c r="A30" s="25"/>
      <x:c r="B30" s="26"/>
      <x:c r="C30" s="26"/>
      <x:c r="D30" s="26"/>
      <x:c r="E30" s="26"/>
      <x:c r="F30" s="26"/>
      <x:c r="G30" s="26"/>
    </x:row>
    <x:row r="31" ht="17.25" customHeight="1">
      <x:c r="A31" s="25"/>
      <x:c r="B31" s="26"/>
      <x:c r="C31" s="26"/>
      <x:c r="D31" s="26"/>
      <x:c r="E31" s="26"/>
      <x:c r="F31" s="26"/>
      <x:c r="G31" s="26"/>
    </x:row>
    <x:row r="32" ht="17.25" customHeight="1">
      <x:c r="A32" s="25"/>
      <x:c r="B32" s="26"/>
      <x:c r="C32" s="26"/>
      <x:c r="D32" s="26"/>
      <x:c r="E32" s="26"/>
      <x:c r="F32" s="26"/>
      <x:c r="G32" s="26"/>
    </x:row>
    <x:row r="33" ht="17.25" customHeight="1">
      <x:c r="A33" s="25"/>
      <x:c r="B33" s="26"/>
      <x:c r="C33" s="26"/>
      <x:c r="D33" s="26"/>
      <x:c r="E33" s="26"/>
      <x:c r="F33" s="26"/>
      <x:c r="G33" s="26"/>
    </x:row>
    <x:row r="34" ht="17.25" customHeight="1">
      <x:c r="A34" s="25"/>
      <x:c r="B34" s="42" t="n">
        <x:f>COUNTA(B27:B33)</x:f>
        <x:v>2</x:v>
      </x:c>
      <x:c r="C34" s="42" t="n">
        <x:f>COUNTA(C27:C33)</x:f>
        <x:v>3</x:v>
      </x:c>
      <x:c r="D34" s="42" t="n">
        <x:f>COUNTA(D27:D33)</x:f>
        <x:v>0</x:v>
      </x:c>
      <x:c r="E34" s="42" t="n">
        <x:f>COUNTA(E27:E33)</x:f>
        <x:v>1</x:v>
      </x:c>
      <x:c r="F34" s="42" t="n">
        <x:f>COUNTA(F27:F33)</x:f>
        <x:v>2</x:v>
      </x:c>
      <x:c r="G34" s="42" t="n">
        <x:f>COUNTA(G27:G33)</x:f>
        <x:v>3</x:v>
      </x:c>
    </x:row>
    <x:row r="35" ht="17.25" customHeight="1">
      <x:c r="A35" s="37" t="str">
        <x:v>교구</x:v>
      </x:c>
      <x:c r="B35" s="23" t="str">
        <x:v>7팀</x:v>
      </x:c>
      <x:c r="C35" s="23" t="str">
        <x:v>8팀</x:v>
      </x:c>
      <x:c r="D35" s="23" t="str">
        <x:v>9팀</x:v>
      </x:c>
      <x:c r="E35" s="23" t="str">
        <x:v>10팀</x:v>
      </x:c>
      <x:c r="F35" s="23" t="str">
        <x:v>11팀</x:v>
      </x:c>
      <x:c r="G35" s="23" t="str">
        <x:v>12팀</x:v>
      </x:c>
    </x:row>
    <x:row r="36" ht="17.25" customHeight="1">
      <x:c r="A36" s="25"/>
      <x:c r="B36" s="26"/>
      <x:c r="C36" s="26" t="str">
        <x:v>가상462081</x:v>
      </x:c>
      <x:c r="D36" s="26" t="str">
        <x:v>가상462091</x:v>
      </x:c>
      <x:c r="E36" s="26" t="str">
        <x:v>가상462101</x:v>
      </x:c>
      <x:c r="F36" s="26"/>
      <x:c r="G36" s="26" t="str">
        <x:v>가상462121</x:v>
      </x:c>
    </x:row>
    <x:row r="37" ht="17.25" customHeight="1">
      <x:c r="A37" s="25"/>
      <x:c r="B37" s="26"/>
      <x:c r="C37" s="26"/>
      <x:c r="D37" s="26" t="str">
        <x:v>가상462092</x:v>
      </x:c>
      <x:c r="E37" s="26" t="str">
        <x:v>가상462102</x:v>
      </x:c>
      <x:c r="F37" s="26"/>
      <x:c r="G37" s="26"/>
    </x:row>
    <x:row r="38" ht="17.25" customHeight="1">
      <x:c r="A38" s="25"/>
      <x:c r="B38" s="26"/>
      <x:c r="C38" s="26"/>
      <x:c r="D38" s="26"/>
      <x:c r="E38" s="26" t="str">
        <x:v>가상462103</x:v>
      </x:c>
      <x:c r="F38" s="26"/>
      <x:c r="G38" s="26"/>
    </x:row>
    <x:row r="39" ht="17.25" customHeight="1">
      <x:c r="A39" s="25"/>
      <x:c r="B39" s="26"/>
      <x:c r="C39" s="26"/>
      <x:c r="D39" s="26"/>
      <x:c r="E39" s="26"/>
      <x:c r="F39" s="26"/>
      <x:c r="G39" s="26"/>
    </x:row>
    <x:row r="40" ht="17.25" customHeight="1">
      <x:c r="A40" s="25"/>
      <x:c r="B40" s="26"/>
      <x:c r="C40" s="26"/>
      <x:c r="D40" s="26"/>
      <x:c r="E40" s="26"/>
      <x:c r="F40" s="26"/>
      <x:c r="G40" s="26"/>
    </x:row>
    <x:row r="41" ht="17.25" customHeight="1">
      <x:c r="A41" s="25"/>
      <x:c r="B41" s="26"/>
      <x:c r="C41" s="26"/>
      <x:c r="D41" s="26"/>
      <x:c r="E41" s="26"/>
      <x:c r="F41" s="26"/>
      <x:c r="G41" s="26"/>
    </x:row>
    <x:row r="42" ht="17.25" customHeight="1">
      <x:c r="A42" s="25"/>
      <x:c r="B42" s="26"/>
      <x:c r="C42" s="26"/>
      <x:c r="D42" s="26"/>
      <x:c r="E42" s="26"/>
      <x:c r="F42" s="26"/>
      <x:c r="G42" s="26"/>
    </x:row>
    <x:row r="43" ht="17.25" customHeight="1">
      <x:c r="A43" s="25"/>
      <x:c r="B43" s="42" t="n">
        <x:f>COUNTA(B36:B42)</x:f>
        <x:v>0</x:v>
      </x:c>
      <x:c r="C43" s="42" t="n">
        <x:f>COUNTA(C36:C42)</x:f>
        <x:v>1</x:v>
      </x:c>
      <x:c r="D43" s="42" t="n">
        <x:f>COUNTA(D36:D42)</x:f>
        <x:v>2</x:v>
      </x:c>
      <x:c r="E43" s="42" t="n">
        <x:f>COUNTA(E36:E42)</x:f>
        <x:v>3</x:v>
      </x:c>
      <x:c r="F43" s="42" t="n">
        <x:f>COUNTA(F36:F42)</x:f>
        <x:v>0</x:v>
      </x:c>
      <x:c r="G43" s="42" t="n">
        <x:f>COUNTA(G36:G42)</x:f>
        <x:v>1</x:v>
      </x:c>
    </x:row>
    <x:row r="44" ht="17.25" customHeight="1">
      <x:c r="A44" s="23" t="str">
        <x:v>교구</x:v>
      </x:c>
      <x:c r="B44" s="23" t="str">
        <x:v>1팀</x:v>
      </x:c>
      <x:c r="C44" s="23" t="str">
        <x:v>2팀</x:v>
      </x:c>
      <x:c r="D44" s="23" t="str">
        <x:v>3팀</x:v>
      </x:c>
      <x:c r="E44" s="23" t="str">
        <x:v>4팀</x:v>
      </x:c>
      <x:c r="F44" s="23" t="str">
        <x:v>5팀</x:v>
      </x:c>
      <x:c r="G44" s="23" t="str">
        <x:v>6팀</x:v>
      </x:c>
    </x:row>
    <x:row r="45" ht="17.25" customHeight="1">
      <x:c r="A45" s="25" t="str">
        <x:v>3교구
담당3
목사님</x:v>
      </x:c>
      <x:c r="B45" s="26" t="str">
        <x:v>가상463011</x:v>
      </x:c>
      <x:c r="C45" s="26"/>
      <x:c r="D45" s="26" t="str">
        <x:v>가상463031</x:v>
      </x:c>
      <x:c r="E45" s="26" t="str">
        <x:v>가상463041</x:v>
      </x:c>
      <x:c r="F45" s="26" t="str">
        <x:v>가상463051</x:v>
      </x:c>
      <x:c r="G45" s="26"/>
    </x:row>
    <x:row r="46" ht="17.25" customHeight="1">
      <x:c r="A46" s="25"/>
      <x:c r="B46" s="26" t="str">
        <x:v>가상463012</x:v>
      </x:c>
      <x:c r="C46" s="26"/>
      <x:c r="D46" s="26"/>
      <x:c r="E46" s="26" t="str">
        <x:v>가상463042</x:v>
      </x:c>
      <x:c r="F46" s="26" t="str">
        <x:v>가상463052</x:v>
      </x:c>
      <x:c r="G46" s="26"/>
    </x:row>
    <x:row r="47" ht="17.25" customHeight="1">
      <x:c r="A47" s="25"/>
      <x:c r="B47" s="26" t="str">
        <x:v>가상463013</x:v>
      </x:c>
      <x:c r="C47" s="26"/>
      <x:c r="D47" s="26"/>
      <x:c r="E47" s="26"/>
      <x:c r="F47" s="26" t="str">
        <x:v>가상463053</x:v>
      </x:c>
      <x:c r="G47" s="26"/>
    </x:row>
    <x:row r="48" ht="17.25" customHeight="1">
      <x:c r="A48" s="25"/>
      <x:c r="B48" s="26"/>
      <x:c r="C48" s="26"/>
      <x:c r="D48" s="26"/>
      <x:c r="E48" s="26"/>
      <x:c r="F48" s="26"/>
      <x:c r="G48" s="26"/>
    </x:row>
    <x:row r="49" ht="17.25" customHeight="1">
      <x:c r="A49" s="25"/>
      <x:c r="B49" s="26"/>
      <x:c r="C49" s="26"/>
      <x:c r="D49" s="26"/>
      <x:c r="E49" s="26"/>
      <x:c r="F49" s="26"/>
      <x:c r="G49" s="26"/>
    </x:row>
    <x:row r="50" ht="17.25" customHeight="1">
      <x:c r="A50" s="25"/>
      <x:c r="B50" s="26"/>
      <x:c r="C50" s="26"/>
      <x:c r="D50" s="26"/>
      <x:c r="E50" s="26"/>
      <x:c r="F50" s="26"/>
      <x:c r="G50" s="26"/>
    </x:row>
    <x:row r="51" ht="17.25" customHeight="1">
      <x:c r="A51" s="25"/>
      <x:c r="B51" s="26"/>
      <x:c r="C51" s="26"/>
      <x:c r="D51" s="26"/>
      <x:c r="E51" s="26"/>
      <x:c r="F51" s="26"/>
      <x:c r="G51" s="26"/>
    </x:row>
    <x:row r="52" ht="17.25" customHeight="1">
      <x:c r="A52" s="25"/>
      <x:c r="B52" s="42" t="n">
        <x:f>COUNTA(B45:B51)</x:f>
        <x:v>3</x:v>
      </x:c>
      <x:c r="C52" s="42" t="n">
        <x:f>COUNTA(C45:C51)</x:f>
        <x:v>0</x:v>
      </x:c>
      <x:c r="D52" s="42" t="n">
        <x:f>COUNTA(D45:D51)</x:f>
        <x:v>1</x:v>
      </x:c>
      <x:c r="E52" s="42" t="n">
        <x:f>COUNTA(E45:E51)</x:f>
        <x:v>2</x:v>
      </x:c>
      <x:c r="F52" s="42" t="n">
        <x:f>COUNTA(F45:F51)</x:f>
        <x:v>3</x:v>
      </x:c>
      <x:c r="G52" s="42" t="n">
        <x:f>COUNTA(G45:G51)</x:f>
        <x:v>0</x:v>
      </x:c>
    </x:row>
    <x:row r="53" ht="17.25" customHeight="1">
      <x:c r="A53" s="37" t="str">
        <x:v>교구</x:v>
      </x:c>
      <x:c r="B53" s="23" t="str">
        <x:v>7팀</x:v>
      </x:c>
      <x:c r="C53" s="23" t="str">
        <x:v>8팀</x:v>
      </x:c>
      <x:c r="D53" s="23" t="str">
        <x:v>9팀</x:v>
      </x:c>
      <x:c r="E53" s="23" t="str">
        <x:v>10팀</x:v>
      </x:c>
      <x:c r="F53" s="23" t="str">
        <x:v>11팀</x:v>
      </x:c>
      <x:c r="G53" s="23" t="str">
        <x:v>12팀</x:v>
      </x:c>
    </x:row>
    <x:row r="54" ht="17.25" customHeight="1">
      <x:c r="A54" s="25"/>
      <x:c r="B54" s="26" t="str">
        <x:v>가상463071</x:v>
      </x:c>
      <x:c r="C54" s="26" t="str">
        <x:v>가상463081</x:v>
      </x:c>
      <x:c r="D54" s="26" t="str">
        <x:v>가상463091</x:v>
      </x:c>
      <x:c r="E54" s="26"/>
      <x:c r="F54" s="26" t="str">
        <x:v>가상463111</x:v>
      </x:c>
      <x:c r="G54" s="26" t="str">
        <x:v>가상463121</x:v>
      </x:c>
    </x:row>
    <x:row r="55" ht="17.25" customHeight="1">
      <x:c r="A55" s="25"/>
      <x:c r="B55" s="26"/>
      <x:c r="C55" s="26" t="str">
        <x:v>가상463082</x:v>
      </x:c>
      <x:c r="D55" s="26" t="str">
        <x:v>가상463092</x:v>
      </x:c>
      <x:c r="E55" s="26"/>
      <x:c r="F55" s="26"/>
      <x:c r="G55" s="26" t="str">
        <x:v>가상463122</x:v>
      </x:c>
    </x:row>
    <x:row r="56" ht="17.25" customHeight="1">
      <x:c r="A56" s="25"/>
      <x:c r="B56" s="26"/>
      <x:c r="C56" s="26"/>
      <x:c r="D56" s="26" t="str">
        <x:v>가상463093</x:v>
      </x:c>
      <x:c r="E56" s="26"/>
      <x:c r="F56" s="26"/>
      <x:c r="G56" s="26"/>
    </x:row>
    <x:row r="57" ht="17.25" customHeight="1">
      <x:c r="A57" s="25"/>
      <x:c r="B57" s="26"/>
      <x:c r="C57" s="26"/>
      <x:c r="D57" s="26"/>
      <x:c r="E57" s="26"/>
      <x:c r="F57" s="26"/>
      <x:c r="G57" s="26"/>
    </x:row>
    <x:row r="58" ht="17.25" customHeight="1">
      <x:c r="A58" s="25"/>
      <x:c r="B58" s="26"/>
      <x:c r="C58" s="26"/>
      <x:c r="D58" s="26"/>
      <x:c r="E58" s="26"/>
      <x:c r="F58" s="26"/>
      <x:c r="G58" s="26"/>
    </x:row>
    <x:row r="59" ht="17.25" customHeight="1">
      <x:c r="A59" s="25"/>
      <x:c r="B59" s="26"/>
      <x:c r="C59" s="26"/>
      <x:c r="D59" s="26"/>
      <x:c r="E59" s="26"/>
      <x:c r="F59" s="26"/>
      <x:c r="G59" s="26"/>
    </x:row>
    <x:row r="60" ht="17.25" customHeight="1">
      <x:c r="A60" s="25"/>
      <x:c r="B60" s="26"/>
      <x:c r="C60" s="26"/>
      <x:c r="D60" s="26"/>
      <x:c r="E60" s="26"/>
      <x:c r="F60" s="26"/>
      <x:c r="G60" s="26"/>
    </x:row>
    <x:row r="61" ht="17.25" customHeight="1">
      <x:c r="A61" s="25"/>
      <x:c r="B61" s="42" t="n">
        <x:f>COUNTA(B54:B60)</x:f>
        <x:v>1</x:v>
      </x:c>
      <x:c r="C61" s="42" t="n">
        <x:f>COUNTA(C54:C60)</x:f>
        <x:v>2</x:v>
      </x:c>
      <x:c r="D61" s="42" t="n">
        <x:f>COUNTA(D54:D60)</x:f>
        <x:v>3</x:v>
      </x:c>
      <x:c r="E61" s="42" t="n">
        <x:f>COUNTA(E54:E60)</x:f>
        <x:v>0</x:v>
      </x:c>
      <x:c r="F61" s="42" t="n">
        <x:f>COUNTA(F54:F60)</x:f>
        <x:v>1</x:v>
      </x:c>
      <x:c r="G61" s="42" t="n">
        <x:f>COUNTA(G54:G60)</x:f>
        <x:v>2</x:v>
      </x:c>
    </x:row>
    <x:row r="62" ht="17.25" customHeight="1">
      <x:c r="A62" s="4"/>
      <x:c r="B62" s="4"/>
      <x:c r="C62" s="4"/>
      <x:c r="D62" s="4"/>
      <x:c r="E62" s="4"/>
      <x:c r="F62" s="4"/>
      <x:c r="G62" s="4"/>
    </x:row>
    <x:row r="63" ht="17.25" customHeight="1">
      <x:c r="A63" s="4"/>
      <x:c r="B63" s="4"/>
      <x:c r="C63" s="4"/>
      <x:c r="D63" s="4"/>
      <x:c r="E63" s="4"/>
      <x:c r="F63" s="4"/>
      <x:c r="G63" s="4"/>
    </x:row>
  </x:sheetData>
  <x:mergeCells>
    <x:mergeCell ref="A1:C2"/>
    <x:mergeCell ref="D1:G2"/>
    <x:mergeCell ref="A3:G3"/>
    <x:mergeCell ref="A5:A6"/>
    <x:mergeCell ref="F5:G6"/>
    <x:mergeCell ref="A9:A25"/>
    <x:mergeCell ref="A27:A43"/>
    <x:mergeCell ref="A45:A61"/>
  </x:mergeCells>
  <x:printOptions horizontalCentered="1"/>
  <x:pageMargins left="0.25" right="0.25" top="0.3" bottom="0.3" header="0.1" footer="0.15"/>
  <x:pageSetup paperSize="9" orientation="portrait" fitToWidth="1" fitToHeight="1"/>
  <x:headerFooter>
    <x:oddFooter>&amp;C7 / 9</x:oddFooter>
  </x:headerFooter>
</x:worksheet>
</file>

<file path=xl/worksheets/sheet8.xml><?xml version="1.0" encoding="utf-8"?>
<x:worksheet xmlns:x="http://schemas.openxmlformats.org/spreadsheetml/2006/main">
  <x:sheetPr>
    <x:tabColor rgb="FF657567"/>
    <x:pageSetUpPr fitToPage="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.889999866485596" hidden="0" customWidth="1"/>
    <x:col min="2" max="2" width="5.329999923706055" hidden="0" customWidth="1"/>
    <x:col min="3" max="3" width="10.4399995803833" hidden="0" customWidth="1"/>
    <x:col min="4" max="4" width="10.329999923706055" hidden="0" customWidth="1"/>
    <x:col min="5" max="5" width="10.329999923706055" hidden="0" customWidth="1"/>
    <x:col min="6" max="6" width="10.329999923706055" hidden="0" customWidth="1"/>
    <x:col min="7" max="7" width="10.329999923706055" hidden="0" customWidth="1"/>
    <x:col min="8" max="8" width="10.670000076293945" hidden="0" customWidth="1"/>
  </x:cols>
  <x:sheetData>
    <x:row r="1" ht="18" customHeight="1">
      <x:c r="A1" s="10" t="n">
        <x:v>46270</x:v>
      </x:c>
      <x:c r="B1" s="11"/>
      <x:c r="C1" s="11"/>
      <x:c r="D1" s="12" t="str">
        <x:v>NEWSONG J 대학부 46기 인원</x:v>
      </x:c>
      <x:c r="E1" s="12"/>
      <x:c r="F1" s="12"/>
      <x:c r="G1" s="12"/>
      <x:c r="H1" s="13"/>
    </x:row>
    <x:row r="2" ht="18" customHeight="1">
      <x:c r="A2" s="14"/>
      <x:c r="B2" s="15"/>
      <x:c r="C2" s="15"/>
      <x:c r="D2" s="16"/>
      <x:c r="E2" s="16"/>
      <x:c r="F2" s="16"/>
      <x:c r="G2" s="16"/>
      <x:c r="H2" s="17"/>
    </x:row>
    <x:row r="3" ht="18" customHeight="1">
      <x:c r="A3" s="19" t="str">
        <x:v>디자인 검토용 · 모든 숫자와 명단은 가상 데이터</x:v>
      </x:c>
      <x:c r="B3" s="19"/>
      <x:c r="C3" s="19"/>
      <x:c r="D3" s="19"/>
      <x:c r="E3" s="19"/>
      <x:c r="F3" s="19"/>
      <x:c r="G3" s="19"/>
      <x:c r="H3" s="19"/>
    </x:row>
    <x:row r="4" ht="18" customHeight="1">
      <x:c r="A4" s="23" t="str">
        <x:v>교구</x:v>
      </x:c>
      <x:c r="B4" s="23" t="str">
        <x:v>팀</x:v>
      </x:c>
      <x:c r="C4" s="23" t="str">
        <x:v>팀장</x:v>
      </x:c>
      <x:c r="D4" s="24" t="n">
        <x:v>46249</x:v>
      </x:c>
      <x:c r="E4" s="24" t="n">
        <x:v>46256</x:v>
      </x:c>
      <x:c r="F4" s="24" t="n">
        <x:v>46263</x:v>
      </x:c>
      <x:c r="G4" s="28" t="n">
        <x:v>46270</x:v>
      </x:c>
      <x:c r="H4" s="23" t="str">
        <x:v>지난주 대비</x:v>
      </x:c>
    </x:row>
    <x:row r="5" ht="18" customHeight="1">
      <x:c r="A5" s="25" t="str">
        <x:v>1교구
담당1
목사님</x:v>
      </x:c>
      <x:c r="B5" s="26" t="n">
        <x:v>1</x:v>
      </x:c>
      <x:c r="C5" s="26" t="str">
        <x:v>팀장101</x:v>
      </x:c>
      <x:c r="D5" s="26" t="n">
        <x:v>0</x:v>
      </x:c>
      <x:c r="E5" s="26" t="n">
        <x:v>1</x:v>
      </x:c>
      <x:c r="F5" s="26" t="n">
        <x:v>2</x:v>
      </x:c>
      <x:c r="G5" s="29" t="n">
        <x:f>'07_46기명단'!B16</x:f>
        <x:v>1</x:v>
      </x:c>
      <x:c r="H5" s="26" t="n">
        <x:f>G5-F5</x:f>
        <x:v>-1</x:v>
      </x:c>
    </x:row>
    <x:row r="6" ht="18" customHeight="1">
      <x:c r="A6" s="25"/>
      <x:c r="B6" s="26" t="n">
        <x:v>2</x:v>
      </x:c>
      <x:c r="C6" s="26" t="str">
        <x:v>팀장102</x:v>
      </x:c>
      <x:c r="D6" s="26" t="n">
        <x:v>2</x:v>
      </x:c>
      <x:c r="E6" s="26" t="n">
        <x:v>3</x:v>
      </x:c>
      <x:c r="F6" s="26" t="n">
        <x:v>1</x:v>
      </x:c>
      <x:c r="G6" s="29" t="n">
        <x:f>'07_46기명단'!C16</x:f>
        <x:v>2</x:v>
      </x:c>
      <x:c r="H6" s="26" t="n">
        <x:f>G6-F6</x:f>
        <x:v>1</x:v>
      </x:c>
    </x:row>
    <x:row r="7" ht="18" customHeight="1">
      <x:c r="A7" s="25"/>
      <x:c r="B7" s="26" t="n">
        <x:v>3</x:v>
      </x:c>
      <x:c r="C7" s="26" t="str">
        <x:v>팀장103</x:v>
      </x:c>
      <x:c r="D7" s="26" t="n">
        <x:v>4</x:v>
      </x:c>
      <x:c r="E7" s="26" t="n">
        <x:v>2</x:v>
      </x:c>
      <x:c r="F7" s="26" t="n">
        <x:v>3</x:v>
      </x:c>
      <x:c r="G7" s="29" t="n">
        <x:f>'07_46기명단'!D16</x:f>
        <x:v>3</x:v>
      </x:c>
      <x:c r="H7" s="26" t="n">
        <x:f>G7-F7</x:f>
        <x:v>0</x:v>
      </x:c>
    </x:row>
    <x:row r="8" ht="18" customHeight="1">
      <x:c r="A8" s="25"/>
      <x:c r="B8" s="26" t="n">
        <x:v>4</x:v>
      </x:c>
      <x:c r="C8" s="26" t="str">
        <x:v>팀장104</x:v>
      </x:c>
      <x:c r="D8" s="26" t="n">
        <x:v>0</x:v>
      </x:c>
      <x:c r="E8" s="26" t="n">
        <x:v>0</x:v>
      </x:c>
      <x:c r="F8" s="26" t="n">
        <x:v>1</x:v>
      </x:c>
      <x:c r="G8" s="29" t="n">
        <x:f>'07_46기명단'!E16</x:f>
        <x:v>0</x:v>
      </x:c>
      <x:c r="H8" s="26" t="n">
        <x:f>G8-F8</x:f>
        <x:v>-1</x:v>
      </x:c>
    </x:row>
    <x:row r="9" ht="18" customHeight="1">
      <x:c r="A9" s="25"/>
      <x:c r="B9" s="26" t="n">
        <x:v>5</x:v>
      </x:c>
      <x:c r="C9" s="26" t="str">
        <x:v>팀장105</x:v>
      </x:c>
      <x:c r="D9" s="26" t="n">
        <x:v>1</x:v>
      </x:c>
      <x:c r="E9" s="26" t="n">
        <x:v>2</x:v>
      </x:c>
      <x:c r="F9" s="26" t="n">
        <x:v>0</x:v>
      </x:c>
      <x:c r="G9" s="29" t="n">
        <x:f>'07_46기명단'!F16</x:f>
        <x:v>1</x:v>
      </x:c>
      <x:c r="H9" s="26" t="n">
        <x:f>G9-F9</x:f>
        <x:v>1</x:v>
      </x:c>
    </x:row>
    <x:row r="10" ht="18" customHeight="1">
      <x:c r="A10" s="25"/>
      <x:c r="B10" s="26" t="n">
        <x:v>6</x:v>
      </x:c>
      <x:c r="C10" s="26" t="str">
        <x:v>팀장106</x:v>
      </x:c>
      <x:c r="D10" s="26" t="n">
        <x:v>3</x:v>
      </x:c>
      <x:c r="E10" s="26" t="n">
        <x:v>1</x:v>
      </x:c>
      <x:c r="F10" s="26" t="n">
        <x:v>2</x:v>
      </x:c>
      <x:c r="G10" s="29" t="n">
        <x:f>'07_46기명단'!G16</x:f>
        <x:v>2</x:v>
      </x:c>
      <x:c r="H10" s="26" t="n">
        <x:f>G10-F10</x:f>
        <x:v>0</x:v>
      </x:c>
    </x:row>
    <x:row r="11" ht="18" customHeight="1">
      <x:c r="A11" s="25"/>
      <x:c r="B11" s="26" t="n">
        <x:v>7</x:v>
      </x:c>
      <x:c r="C11" s="26" t="str">
        <x:v>팀장107</x:v>
      </x:c>
      <x:c r="D11" s="26" t="n">
        <x:v>2</x:v>
      </x:c>
      <x:c r="E11" s="26" t="n">
        <x:v>3</x:v>
      </x:c>
      <x:c r="F11" s="26" t="n">
        <x:v>4</x:v>
      </x:c>
      <x:c r="G11" s="29" t="n">
        <x:f>'07_46기명단'!B25</x:f>
        <x:v>3</x:v>
      </x:c>
      <x:c r="H11" s="26" t="n">
        <x:f>G11-F11</x:f>
        <x:v>-1</x:v>
      </x:c>
    </x:row>
    <x:row r="12" ht="18" customHeight="1">
      <x:c r="A12" s="25"/>
      <x:c r="B12" s="26" t="n">
        <x:v>8</x:v>
      </x:c>
      <x:c r="C12" s="26" t="str">
        <x:v>팀장108</x:v>
      </x:c>
      <x:c r="D12" s="26" t="n">
        <x:v>0</x:v>
      </x:c>
      <x:c r="E12" s="26" t="n">
        <x:v>1</x:v>
      </x:c>
      <x:c r="F12" s="26" t="n">
        <x:v>0</x:v>
      </x:c>
      <x:c r="G12" s="29" t="n">
        <x:f>'07_46기명단'!C25</x:f>
        <x:v>0</x:v>
      </x:c>
      <x:c r="H12" s="26" t="n">
        <x:f>G12-F12</x:f>
        <x:v>0</x:v>
      </x:c>
    </x:row>
    <x:row r="13" ht="18" customHeight="1">
      <x:c r="A13" s="25"/>
      <x:c r="B13" s="26" t="n">
        <x:v>9</x:v>
      </x:c>
      <x:c r="C13" s="26" t="str">
        <x:v>팀장109</x:v>
      </x:c>
      <x:c r="D13" s="26" t="n">
        <x:v>2</x:v>
      </x:c>
      <x:c r="E13" s="26" t="n">
        <x:v>0</x:v>
      </x:c>
      <x:c r="F13" s="26" t="n">
        <x:v>1</x:v>
      </x:c>
      <x:c r="G13" s="29" t="n">
        <x:f>'07_46기명단'!D25</x:f>
        <x:v>1</x:v>
      </x:c>
      <x:c r="H13" s="26" t="n">
        <x:f>G13-F13</x:f>
        <x:v>0</x:v>
      </x:c>
    </x:row>
    <x:row r="14" ht="18" customHeight="1">
      <x:c r="A14" s="25"/>
      <x:c r="B14" s="26" t="n">
        <x:v>10</x:v>
      </x:c>
      <x:c r="C14" s="26" t="str">
        <x:v>팀장110</x:v>
      </x:c>
      <x:c r="D14" s="26" t="n">
        <x:v>1</x:v>
      </x:c>
      <x:c r="E14" s="26" t="n">
        <x:v>2</x:v>
      </x:c>
      <x:c r="F14" s="26" t="n">
        <x:v>3</x:v>
      </x:c>
      <x:c r="G14" s="29" t="n">
        <x:f>'07_46기명단'!E25</x:f>
        <x:v>2</x:v>
      </x:c>
      <x:c r="H14" s="26" t="n">
        <x:f>G14-F14</x:f>
        <x:v>-1</x:v>
      </x:c>
    </x:row>
    <x:row r="15" ht="18" customHeight="1">
      <x:c r="A15" s="25"/>
      <x:c r="B15" s="26" t="n">
        <x:v>11</x:v>
      </x:c>
      <x:c r="C15" s="26" t="str">
        <x:v>팀장111</x:v>
      </x:c>
      <x:c r="D15" s="26" t="n">
        <x:v>3</x:v>
      </x:c>
      <x:c r="E15" s="26" t="n">
        <x:v>4</x:v>
      </x:c>
      <x:c r="F15" s="26" t="n">
        <x:v>2</x:v>
      </x:c>
      <x:c r="G15" s="29" t="n">
        <x:f>'07_46기명단'!F25</x:f>
        <x:v>3</x:v>
      </x:c>
      <x:c r="H15" s="26" t="n">
        <x:f>G15-F15</x:f>
        <x:v>1</x:v>
      </x:c>
    </x:row>
    <x:row r="16" ht="18" customHeight="1">
      <x:c r="A16" s="25"/>
      <x:c r="B16" s="26" t="n">
        <x:v>12</x:v>
      </x:c>
      <x:c r="C16" s="26" t="str">
        <x:v>팀장112</x:v>
      </x:c>
      <x:c r="D16" s="26" t="n">
        <x:v>1</x:v>
      </x:c>
      <x:c r="E16" s="26" t="n">
        <x:v>0</x:v>
      </x:c>
      <x:c r="F16" s="26" t="n">
        <x:v>0</x:v>
      </x:c>
      <x:c r="G16" s="29" t="n">
        <x:f>'07_46기명단'!G25</x:f>
        <x:v>0</x:v>
      </x:c>
      <x:c r="H16" s="26" t="n">
        <x:f>G16-F16</x:f>
        <x:v>0</x:v>
      </x:c>
    </x:row>
    <x:row r="17" ht="18" customHeight="1">
      <x:c r="A17" s="30" t="str">
        <x:v>1교구 총계</x:v>
      </x:c>
      <x:c r="B17" s="30"/>
      <x:c r="C17" s="30"/>
      <x:c r="D17" s="30" t="n">
        <x:f>SUM(D5:D16)</x:f>
        <x:v>19</x:v>
      </x:c>
      <x:c r="E17" s="30" t="n">
        <x:f>SUM(E5:E16)</x:f>
        <x:v>19</x:v>
      </x:c>
      <x:c r="F17" s="30" t="n">
        <x:f>SUM(F5:F16)</x:f>
        <x:v>19</x:v>
      </x:c>
      <x:c r="G17" s="31" t="n">
        <x:f>SUM(G5:G16)</x:f>
        <x:v>18</x:v>
      </x:c>
      <x:c r="H17" s="30" t="n">
        <x:f>SUM(H5:H16)</x:f>
        <x:v>-1</x:v>
      </x:c>
    </x:row>
    <x:row r="18" ht="18" customHeight="1">
      <x:c r="A18" s="23" t="str">
        <x:v>교구</x:v>
      </x:c>
      <x:c r="B18" s="23" t="str">
        <x:v>팀</x:v>
      </x:c>
      <x:c r="C18" s="23" t="str">
        <x:v>팀장</x:v>
      </x:c>
      <x:c r="D18" s="24" t="n">
        <x:v>46249</x:v>
      </x:c>
      <x:c r="E18" s="24" t="n">
        <x:v>46256</x:v>
      </x:c>
      <x:c r="F18" s="24" t="n">
        <x:v>46263</x:v>
      </x:c>
      <x:c r="G18" s="28" t="n">
        <x:v>46270</x:v>
      </x:c>
      <x:c r="H18" s="23" t="str">
        <x:v>지난주 대비</x:v>
      </x:c>
    </x:row>
    <x:row r="19" ht="18" customHeight="1">
      <x:c r="A19" s="25" t="str">
        <x:v>2교구
담당2
목사님</x:v>
      </x:c>
      <x:c r="B19" s="26" t="n">
        <x:v>1</x:v>
      </x:c>
      <x:c r="C19" s="26" t="str">
        <x:v>팀장201</x:v>
      </x:c>
      <x:c r="D19" s="26" t="n">
        <x:v>1</x:v>
      </x:c>
      <x:c r="E19" s="26" t="n">
        <x:v>2</x:v>
      </x:c>
      <x:c r="F19" s="26" t="n">
        <x:v>3</x:v>
      </x:c>
      <x:c r="G19" s="29" t="n">
        <x:f>'07_46기명단'!B34</x:f>
        <x:v>2</x:v>
      </x:c>
      <x:c r="H19" s="26" t="n">
        <x:f>G19-F19</x:f>
        <x:v>-1</x:v>
      </x:c>
    </x:row>
    <x:row r="20" ht="18" customHeight="1">
      <x:c r="A20" s="25"/>
      <x:c r="B20" s="26" t="n">
        <x:v>2</x:v>
      </x:c>
      <x:c r="C20" s="26" t="str">
        <x:v>팀장202</x:v>
      </x:c>
      <x:c r="D20" s="26" t="n">
        <x:v>3</x:v>
      </x:c>
      <x:c r="E20" s="26" t="n">
        <x:v>4</x:v>
      </x:c>
      <x:c r="F20" s="26" t="n">
        <x:v>2</x:v>
      </x:c>
      <x:c r="G20" s="29" t="n">
        <x:f>'07_46기명단'!C34</x:f>
        <x:v>3</x:v>
      </x:c>
      <x:c r="H20" s="26" t="n">
        <x:f>G20-F20</x:f>
        <x:v>1</x:v>
      </x:c>
    </x:row>
    <x:row r="21" ht="18" customHeight="1">
      <x:c r="A21" s="25"/>
      <x:c r="B21" s="26" t="n">
        <x:v>3</x:v>
      </x:c>
      <x:c r="C21" s="26" t="str">
        <x:v>팀장203</x:v>
      </x:c>
      <x:c r="D21" s="26" t="n">
        <x:v>1</x:v>
      </x:c>
      <x:c r="E21" s="26" t="n">
        <x:v>0</x:v>
      </x:c>
      <x:c r="F21" s="26" t="n">
        <x:v>0</x:v>
      </x:c>
      <x:c r="G21" s="29" t="n">
        <x:f>'07_46기명단'!D34</x:f>
        <x:v>0</x:v>
      </x:c>
      <x:c r="H21" s="26" t="n">
        <x:f>G21-F21</x:f>
        <x:v>0</x:v>
      </x:c>
    </x:row>
    <x:row r="22" ht="18" customHeight="1">
      <x:c r="A22" s="25"/>
      <x:c r="B22" s="26" t="n">
        <x:v>4</x:v>
      </x:c>
      <x:c r="C22" s="26" t="str">
        <x:v>팀장204</x:v>
      </x:c>
      <x:c r="D22" s="26" t="n">
        <x:v>0</x:v>
      </x:c>
      <x:c r="E22" s="26" t="n">
        <x:v>1</x:v>
      </x:c>
      <x:c r="F22" s="26" t="n">
        <x:v>2</x:v>
      </x:c>
      <x:c r="G22" s="29" t="n">
        <x:f>'07_46기명단'!E34</x:f>
        <x:v>1</x:v>
      </x:c>
      <x:c r="H22" s="26" t="n">
        <x:f>G22-F22</x:f>
        <x:v>-1</x:v>
      </x:c>
    </x:row>
    <x:row r="23" ht="18" customHeight="1">
      <x:c r="A23" s="25"/>
      <x:c r="B23" s="26" t="n">
        <x:v>5</x:v>
      </x:c>
      <x:c r="C23" s="26" t="str">
        <x:v>팀장205</x:v>
      </x:c>
      <x:c r="D23" s="26" t="n">
        <x:v>2</x:v>
      </x:c>
      <x:c r="E23" s="26" t="n">
        <x:v>3</x:v>
      </x:c>
      <x:c r="F23" s="26" t="n">
        <x:v>1</x:v>
      </x:c>
      <x:c r="G23" s="29" t="n">
        <x:f>'07_46기명단'!F34</x:f>
        <x:v>2</x:v>
      </x:c>
      <x:c r="H23" s="26" t="n">
        <x:f>G23-F23</x:f>
        <x:v>1</x:v>
      </x:c>
    </x:row>
    <x:row r="24" ht="18" customHeight="1">
      <x:c r="A24" s="25"/>
      <x:c r="B24" s="26" t="n">
        <x:v>6</x:v>
      </x:c>
      <x:c r="C24" s="26" t="str">
        <x:v>팀장206</x:v>
      </x:c>
      <x:c r="D24" s="26" t="n">
        <x:v>4</x:v>
      </x:c>
      <x:c r="E24" s="26" t="n">
        <x:v>2</x:v>
      </x:c>
      <x:c r="F24" s="26" t="n">
        <x:v>3</x:v>
      </x:c>
      <x:c r="G24" s="29" t="n">
        <x:f>'07_46기명단'!G34</x:f>
        <x:v>3</x:v>
      </x:c>
      <x:c r="H24" s="26" t="n">
        <x:f>G24-F24</x:f>
        <x:v>0</x:v>
      </x:c>
    </x:row>
    <x:row r="25" ht="18" customHeight="1">
      <x:c r="A25" s="25"/>
      <x:c r="B25" s="26" t="n">
        <x:v>7</x:v>
      </x:c>
      <x:c r="C25" s="26" t="str">
        <x:v>팀장207</x:v>
      </x:c>
      <x:c r="D25" s="26" t="n">
        <x:v>0</x:v>
      </x:c>
      <x:c r="E25" s="26" t="n">
        <x:v>0</x:v>
      </x:c>
      <x:c r="F25" s="26" t="n">
        <x:v>1</x:v>
      </x:c>
      <x:c r="G25" s="29" t="n">
        <x:f>'07_46기명단'!B43</x:f>
        <x:v>0</x:v>
      </x:c>
      <x:c r="H25" s="26" t="n">
        <x:f>G25-F25</x:f>
        <x:v>-1</x:v>
      </x:c>
    </x:row>
    <x:row r="26" ht="18" customHeight="1">
      <x:c r="A26" s="25"/>
      <x:c r="B26" s="26" t="n">
        <x:v>8</x:v>
      </x:c>
      <x:c r="C26" s="26" t="str">
        <x:v>팀장208</x:v>
      </x:c>
      <x:c r="D26" s="26" t="n">
        <x:v>1</x:v>
      </x:c>
      <x:c r="E26" s="26" t="n">
        <x:v>2</x:v>
      </x:c>
      <x:c r="F26" s="26" t="n">
        <x:v>0</x:v>
      </x:c>
      <x:c r="G26" s="29" t="n">
        <x:f>'07_46기명단'!C43</x:f>
        <x:v>1</x:v>
      </x:c>
      <x:c r="H26" s="26" t="n">
        <x:f>G26-F26</x:f>
        <x:v>1</x:v>
      </x:c>
    </x:row>
    <x:row r="27" ht="18" customHeight="1">
      <x:c r="A27" s="25"/>
      <x:c r="B27" s="26" t="n">
        <x:v>9</x:v>
      </x:c>
      <x:c r="C27" s="26" t="str">
        <x:v>팀장209</x:v>
      </x:c>
      <x:c r="D27" s="26" t="n">
        <x:v>3</x:v>
      </x:c>
      <x:c r="E27" s="26" t="n">
        <x:v>1</x:v>
      </x:c>
      <x:c r="F27" s="26" t="n">
        <x:v>2</x:v>
      </x:c>
      <x:c r="G27" s="29" t="n">
        <x:f>'07_46기명단'!D43</x:f>
        <x:v>2</x:v>
      </x:c>
      <x:c r="H27" s="26" t="n">
        <x:f>G27-F27</x:f>
        <x:v>0</x:v>
      </x:c>
    </x:row>
    <x:row r="28" ht="18" customHeight="1">
      <x:c r="A28" s="25"/>
      <x:c r="B28" s="26" t="n">
        <x:v>10</x:v>
      </x:c>
      <x:c r="C28" s="26" t="str">
        <x:v>팀장210</x:v>
      </x:c>
      <x:c r="D28" s="26" t="n">
        <x:v>2</x:v>
      </x:c>
      <x:c r="E28" s="26" t="n">
        <x:v>3</x:v>
      </x:c>
      <x:c r="F28" s="26" t="n">
        <x:v>4</x:v>
      </x:c>
      <x:c r="G28" s="29" t="n">
        <x:f>'07_46기명단'!E43</x:f>
        <x:v>3</x:v>
      </x:c>
      <x:c r="H28" s="26" t="n">
        <x:f>G28-F28</x:f>
        <x:v>-1</x:v>
      </x:c>
    </x:row>
    <x:row r="29" ht="18" customHeight="1">
      <x:c r="A29" s="25"/>
      <x:c r="B29" s="26" t="n">
        <x:v>11</x:v>
      </x:c>
      <x:c r="C29" s="26" t="str">
        <x:v>팀장211</x:v>
      </x:c>
      <x:c r="D29" s="26" t="n">
        <x:v>0</x:v>
      </x:c>
      <x:c r="E29" s="26" t="n">
        <x:v>1</x:v>
      </x:c>
      <x:c r="F29" s="26" t="n">
        <x:v>0</x:v>
      </x:c>
      <x:c r="G29" s="29" t="n">
        <x:f>'07_46기명단'!F43</x:f>
        <x:v>0</x:v>
      </x:c>
      <x:c r="H29" s="26" t="n">
        <x:f>G29-F29</x:f>
        <x:v>0</x:v>
      </x:c>
    </x:row>
    <x:row r="30" ht="18" customHeight="1">
      <x:c r="A30" s="25"/>
      <x:c r="B30" s="26" t="n">
        <x:v>12</x:v>
      </x:c>
      <x:c r="C30" s="26" t="str">
        <x:v>팀장212</x:v>
      </x:c>
      <x:c r="D30" s="26" t="n">
        <x:v>2</x:v>
      </x:c>
      <x:c r="E30" s="26" t="n">
        <x:v>0</x:v>
      </x:c>
      <x:c r="F30" s="26" t="n">
        <x:v>1</x:v>
      </x:c>
      <x:c r="G30" s="29" t="n">
        <x:f>'07_46기명단'!G43</x:f>
        <x:v>1</x:v>
      </x:c>
      <x:c r="H30" s="26" t="n">
        <x:f>G30-F30</x:f>
        <x:v>0</x:v>
      </x:c>
    </x:row>
    <x:row r="31" ht="18" customHeight="1">
      <x:c r="A31" s="30" t="str">
        <x:v>2교구 총계</x:v>
      </x:c>
      <x:c r="B31" s="30"/>
      <x:c r="C31" s="30"/>
      <x:c r="D31" s="30" t="n">
        <x:f>SUM(D19:D30)</x:f>
        <x:v>19</x:v>
      </x:c>
      <x:c r="E31" s="30" t="n">
        <x:f>SUM(E19:E30)</x:f>
        <x:v>19</x:v>
      </x:c>
      <x:c r="F31" s="30" t="n">
        <x:f>SUM(F19:F30)</x:f>
        <x:v>19</x:v>
      </x:c>
      <x:c r="G31" s="31" t="n">
        <x:f>SUM(G19:G30)</x:f>
        <x:v>18</x:v>
      </x:c>
      <x:c r="H31" s="30" t="n">
        <x:f>SUM(H19:H30)</x:f>
        <x:v>-1</x:v>
      </x:c>
    </x:row>
    <x:row r="32" ht="18" customHeight="1">
      <x:c r="A32" s="23" t="str">
        <x:v>교구</x:v>
      </x:c>
      <x:c r="B32" s="23" t="str">
        <x:v>팀</x:v>
      </x:c>
      <x:c r="C32" s="23" t="str">
        <x:v>팀장</x:v>
      </x:c>
      <x:c r="D32" s="24" t="n">
        <x:v>46249</x:v>
      </x:c>
      <x:c r="E32" s="24" t="n">
        <x:v>46256</x:v>
      </x:c>
      <x:c r="F32" s="24" t="n">
        <x:v>46263</x:v>
      </x:c>
      <x:c r="G32" s="28" t="n">
        <x:v>46270</x:v>
      </x:c>
      <x:c r="H32" s="23" t="str">
        <x:v>지난주 대비</x:v>
      </x:c>
    </x:row>
    <x:row r="33" ht="18" customHeight="1">
      <x:c r="A33" s="25" t="str">
        <x:v>3교구
담당3
목사님</x:v>
      </x:c>
      <x:c r="B33" s="26" t="n">
        <x:v>1</x:v>
      </x:c>
      <x:c r="C33" s="26" t="str">
        <x:v>팀장301</x:v>
      </x:c>
      <x:c r="D33" s="26" t="n">
        <x:v>2</x:v>
      </x:c>
      <x:c r="E33" s="26" t="n">
        <x:v>3</x:v>
      </x:c>
      <x:c r="F33" s="26" t="n">
        <x:v>4</x:v>
      </x:c>
      <x:c r="G33" s="29" t="n">
        <x:f>'07_46기명단'!B52</x:f>
        <x:v>3</x:v>
      </x:c>
      <x:c r="H33" s="26" t="n">
        <x:f>G33-F33</x:f>
        <x:v>-1</x:v>
      </x:c>
    </x:row>
    <x:row r="34" ht="18" customHeight="1">
      <x:c r="A34" s="25"/>
      <x:c r="B34" s="26" t="n">
        <x:v>2</x:v>
      </x:c>
      <x:c r="C34" s="26" t="str">
        <x:v>팀장302</x:v>
      </x:c>
      <x:c r="D34" s="26" t="n">
        <x:v>0</x:v>
      </x:c>
      <x:c r="E34" s="26" t="n">
        <x:v>1</x:v>
      </x:c>
      <x:c r="F34" s="26" t="n">
        <x:v>0</x:v>
      </x:c>
      <x:c r="G34" s="29" t="n">
        <x:f>'07_46기명단'!C52</x:f>
        <x:v>0</x:v>
      </x:c>
      <x:c r="H34" s="26" t="n">
        <x:f>G34-F34</x:f>
        <x:v>0</x:v>
      </x:c>
    </x:row>
    <x:row r="35" ht="18" customHeight="1">
      <x:c r="A35" s="25"/>
      <x:c r="B35" s="26" t="n">
        <x:v>3</x:v>
      </x:c>
      <x:c r="C35" s="26" t="str">
        <x:v>팀장303</x:v>
      </x:c>
      <x:c r="D35" s="26" t="n">
        <x:v>2</x:v>
      </x:c>
      <x:c r="E35" s="26" t="n">
        <x:v>0</x:v>
      </x:c>
      <x:c r="F35" s="26" t="n">
        <x:v>1</x:v>
      </x:c>
      <x:c r="G35" s="29" t="n">
        <x:f>'07_46기명단'!D52</x:f>
        <x:v>1</x:v>
      </x:c>
      <x:c r="H35" s="26" t="n">
        <x:f>G35-F35</x:f>
        <x:v>0</x:v>
      </x:c>
    </x:row>
    <x:row r="36" ht="18" customHeight="1">
      <x:c r="A36" s="25"/>
      <x:c r="B36" s="26" t="n">
        <x:v>4</x:v>
      </x:c>
      <x:c r="C36" s="26" t="str">
        <x:v>팀장304</x:v>
      </x:c>
      <x:c r="D36" s="26" t="n">
        <x:v>1</x:v>
      </x:c>
      <x:c r="E36" s="26" t="n">
        <x:v>2</x:v>
      </x:c>
      <x:c r="F36" s="26" t="n">
        <x:v>3</x:v>
      </x:c>
      <x:c r="G36" s="29" t="n">
        <x:f>'07_46기명단'!E52</x:f>
        <x:v>2</x:v>
      </x:c>
      <x:c r="H36" s="26" t="n">
        <x:f>G36-F36</x:f>
        <x:v>-1</x:v>
      </x:c>
    </x:row>
    <x:row r="37" ht="18" customHeight="1">
      <x:c r="A37" s="25"/>
      <x:c r="B37" s="26" t="n">
        <x:v>5</x:v>
      </x:c>
      <x:c r="C37" s="26" t="str">
        <x:v>팀장305</x:v>
      </x:c>
      <x:c r="D37" s="26" t="n">
        <x:v>3</x:v>
      </x:c>
      <x:c r="E37" s="26" t="n">
        <x:v>4</x:v>
      </x:c>
      <x:c r="F37" s="26" t="n">
        <x:v>2</x:v>
      </x:c>
      <x:c r="G37" s="29" t="n">
        <x:f>'07_46기명단'!F52</x:f>
        <x:v>3</x:v>
      </x:c>
      <x:c r="H37" s="26" t="n">
        <x:f>G37-F37</x:f>
        <x:v>1</x:v>
      </x:c>
    </x:row>
    <x:row r="38" ht="18" customHeight="1">
      <x:c r="A38" s="25"/>
      <x:c r="B38" s="26" t="n">
        <x:v>6</x:v>
      </x:c>
      <x:c r="C38" s="26" t="str">
        <x:v>팀장306</x:v>
      </x:c>
      <x:c r="D38" s="26" t="n">
        <x:v>1</x:v>
      </x:c>
      <x:c r="E38" s="26" t="n">
        <x:v>0</x:v>
      </x:c>
      <x:c r="F38" s="26" t="n">
        <x:v>0</x:v>
      </x:c>
      <x:c r="G38" s="29" t="n">
        <x:f>'07_46기명단'!G52</x:f>
        <x:v>0</x:v>
      </x:c>
      <x:c r="H38" s="26" t="n">
        <x:f>G38-F38</x:f>
        <x:v>0</x:v>
      </x:c>
    </x:row>
    <x:row r="39" ht="18" customHeight="1">
      <x:c r="A39" s="25"/>
      <x:c r="B39" s="26" t="n">
        <x:v>7</x:v>
      </x:c>
      <x:c r="C39" s="26" t="str">
        <x:v>팀장307</x:v>
      </x:c>
      <x:c r="D39" s="26" t="n">
        <x:v>0</x:v>
      </x:c>
      <x:c r="E39" s="26" t="n">
        <x:v>1</x:v>
      </x:c>
      <x:c r="F39" s="26" t="n">
        <x:v>2</x:v>
      </x:c>
      <x:c r="G39" s="29" t="n">
        <x:f>'07_46기명단'!B61</x:f>
        <x:v>1</x:v>
      </x:c>
      <x:c r="H39" s="26" t="n">
        <x:f>G39-F39</x:f>
        <x:v>-1</x:v>
      </x:c>
    </x:row>
    <x:row r="40" ht="18" customHeight="1">
      <x:c r="A40" s="25"/>
      <x:c r="B40" s="26" t="n">
        <x:v>8</x:v>
      </x:c>
      <x:c r="C40" s="26" t="str">
        <x:v>팀장308</x:v>
      </x:c>
      <x:c r="D40" s="26" t="n">
        <x:v>2</x:v>
      </x:c>
      <x:c r="E40" s="26" t="n">
        <x:v>3</x:v>
      </x:c>
      <x:c r="F40" s="26" t="n">
        <x:v>1</x:v>
      </x:c>
      <x:c r="G40" s="29" t="n">
        <x:f>'07_46기명단'!C61</x:f>
        <x:v>2</x:v>
      </x:c>
      <x:c r="H40" s="26" t="n">
        <x:f>G40-F40</x:f>
        <x:v>1</x:v>
      </x:c>
    </x:row>
    <x:row r="41" ht="18" customHeight="1">
      <x:c r="A41" s="25"/>
      <x:c r="B41" s="26" t="n">
        <x:v>9</x:v>
      </x:c>
      <x:c r="C41" s="26" t="str">
        <x:v>팀장309</x:v>
      </x:c>
      <x:c r="D41" s="26" t="n">
        <x:v>4</x:v>
      </x:c>
      <x:c r="E41" s="26" t="n">
        <x:v>2</x:v>
      </x:c>
      <x:c r="F41" s="26" t="n">
        <x:v>3</x:v>
      </x:c>
      <x:c r="G41" s="29" t="n">
        <x:f>'07_46기명단'!D61</x:f>
        <x:v>3</x:v>
      </x:c>
      <x:c r="H41" s="26" t="n">
        <x:f>G41-F41</x:f>
        <x:v>0</x:v>
      </x:c>
    </x:row>
    <x:row r="42" ht="18" customHeight="1">
      <x:c r="A42" s="25"/>
      <x:c r="B42" s="26" t="n">
        <x:v>10</x:v>
      </x:c>
      <x:c r="C42" s="26" t="str">
        <x:v>팀장310</x:v>
      </x:c>
      <x:c r="D42" s="26" t="n">
        <x:v>0</x:v>
      </x:c>
      <x:c r="E42" s="26" t="n">
        <x:v>0</x:v>
      </x:c>
      <x:c r="F42" s="26" t="n">
        <x:v>1</x:v>
      </x:c>
      <x:c r="G42" s="29" t="n">
        <x:f>'07_46기명단'!E61</x:f>
        <x:v>0</x:v>
      </x:c>
      <x:c r="H42" s="26" t="n">
        <x:f>G42-F42</x:f>
        <x:v>-1</x:v>
      </x:c>
    </x:row>
    <x:row r="43" ht="18" customHeight="1">
      <x:c r="A43" s="25"/>
      <x:c r="B43" s="26" t="n">
        <x:v>11</x:v>
      </x:c>
      <x:c r="C43" s="26" t="str">
        <x:v>팀장311</x:v>
      </x:c>
      <x:c r="D43" s="26" t="n">
        <x:v>1</x:v>
      </x:c>
      <x:c r="E43" s="26" t="n">
        <x:v>2</x:v>
      </x:c>
      <x:c r="F43" s="26" t="n">
        <x:v>0</x:v>
      </x:c>
      <x:c r="G43" s="29" t="n">
        <x:f>'07_46기명단'!F61</x:f>
        <x:v>1</x:v>
      </x:c>
      <x:c r="H43" s="26" t="n">
        <x:f>G43-F43</x:f>
        <x:v>1</x:v>
      </x:c>
    </x:row>
    <x:row r="44" ht="18" customHeight="1">
      <x:c r="A44" s="25"/>
      <x:c r="B44" s="26" t="n">
        <x:v>12</x:v>
      </x:c>
      <x:c r="C44" s="26" t="str">
        <x:v>팀장312</x:v>
      </x:c>
      <x:c r="D44" s="26" t="n">
        <x:v>3</x:v>
      </x:c>
      <x:c r="E44" s="26" t="n">
        <x:v>1</x:v>
      </x:c>
      <x:c r="F44" s="26" t="n">
        <x:v>2</x:v>
      </x:c>
      <x:c r="G44" s="29" t="n">
        <x:f>'07_46기명단'!G61</x:f>
        <x:v>2</x:v>
      </x:c>
      <x:c r="H44" s="26" t="n">
        <x:f>G44-F44</x:f>
        <x:v>0</x:v>
      </x:c>
    </x:row>
    <x:row r="45" ht="18" customHeight="1">
      <x:c r="A45" s="30" t="str">
        <x:v>3교구 총계</x:v>
      </x:c>
      <x:c r="B45" s="30"/>
      <x:c r="C45" s="30"/>
      <x:c r="D45" s="30" t="n">
        <x:f>SUM(D33:D44)</x:f>
        <x:v>19</x:v>
      </x:c>
      <x:c r="E45" s="30" t="n">
        <x:f>SUM(E33:E44)</x:f>
        <x:v>19</x:v>
      </x:c>
      <x:c r="F45" s="30" t="n">
        <x:f>SUM(F33:F44)</x:f>
        <x:v>19</x:v>
      </x:c>
      <x:c r="G45" s="31" t="n">
        <x:f>SUM(G33:G44)</x:f>
        <x:v>18</x:v>
      </x:c>
      <x:c r="H45" s="30" t="n">
        <x:f>SUM(H33:H44)</x:f>
        <x:v>-1</x:v>
      </x:c>
    </x:row>
    <x:row r="46" ht="18" customHeight="1">
      <x:c r="A46" s="23" t="str">
        <x:v>46기 인원 총계</x:v>
      </x:c>
      <x:c r="B46" s="23"/>
      <x:c r="C46" s="23"/>
      <x:c r="D46" s="23" t="n">
        <x:f>D17+D31+D45</x:f>
        <x:v>57</x:v>
      </x:c>
      <x:c r="E46" s="23" t="n">
        <x:f>E17+E31+E45</x:f>
        <x:v>57</x:v>
      </x:c>
      <x:c r="F46" s="23" t="n">
        <x:f>F17+F31+F45</x:f>
        <x:v>57</x:v>
      </x:c>
      <x:c r="G46" s="31" t="n">
        <x:f>G17+G31+G45</x:f>
        <x:v>54</x:v>
      </x:c>
      <x:c r="H46" s="23" t="n">
        <x:f>H17+H31+H45</x:f>
        <x:v>-3</x:v>
      </x:c>
    </x:row>
    <x:row r="47" ht="18" customHeight="1">
      <x:c r="A47" s="4"/>
      <x:c r="B47" s="4"/>
      <x:c r="C47" s="4"/>
      <x:c r="D47" s="4"/>
      <x:c r="E47" s="4"/>
      <x:c r="F47" s="4"/>
      <x:c r="G47" s="4"/>
      <x:c r="H47" s="4"/>
    </x:row>
    <x:row r="48" ht="18" customHeight="1">
      <x:c r="A48" s="4"/>
      <x:c r="B48" s="4"/>
      <x:c r="C48" s="4"/>
      <x:c r="D48" s="4"/>
      <x:c r="E48" s="4"/>
      <x:c r="F48" s="4"/>
      <x:c r="G48" s="4"/>
      <x:c r="H48" s="4"/>
    </x:row>
    <x:row r="49" ht="18" customHeight="1">
      <x:c r="A49" s="4"/>
      <x:c r="B49" s="4"/>
      <x:c r="C49" s="4"/>
      <x:c r="D49" s="4"/>
      <x:c r="E49" s="4"/>
      <x:c r="F49" s="4"/>
      <x:c r="G49" s="4"/>
      <x:c r="H49" s="4"/>
    </x:row>
    <x:row r="50" ht="18" customHeight="1">
      <x:c r="A50" s="4"/>
      <x:c r="B50" s="4"/>
      <x:c r="C50" s="4"/>
      <x:c r="D50" s="4"/>
      <x:c r="E50" s="4"/>
      <x:c r="F50" s="4"/>
      <x:c r="G50" s="4"/>
      <x:c r="H50" s="4"/>
    </x:row>
    <x:row r="51" ht="18" customHeight="1">
      <x:c r="A51" s="4"/>
      <x:c r="B51" s="4"/>
      <x:c r="C51" s="4"/>
      <x:c r="D51" s="4"/>
      <x:c r="E51" s="4"/>
      <x:c r="F51" s="4"/>
      <x:c r="G51" s="4"/>
      <x:c r="H51" s="4"/>
    </x:row>
    <x:row r="52" ht="18" customHeight="1">
      <x:c r="A52" s="4"/>
      <x:c r="B52" s="4"/>
      <x:c r="C52" s="4"/>
      <x:c r="D52" s="4"/>
      <x:c r="E52" s="4"/>
      <x:c r="F52" s="4"/>
      <x:c r="G52" s="4"/>
      <x:c r="H52" s="4"/>
    </x:row>
    <x:row r="53" ht="18" customHeight="1">
      <x:c r="A53" s="4"/>
      <x:c r="B53" s="4"/>
      <x:c r="C53" s="4"/>
      <x:c r="D53" s="4"/>
      <x:c r="E53" s="4"/>
      <x:c r="F53" s="4"/>
      <x:c r="G53" s="4"/>
      <x:c r="H53" s="4"/>
    </x:row>
  </x:sheetData>
  <x:mergeCells>
    <x:mergeCell ref="A1:C2"/>
    <x:mergeCell ref="D1:H2"/>
    <x:mergeCell ref="A3:H3"/>
    <x:mergeCell ref="A5:A16"/>
    <x:mergeCell ref="A17:C17"/>
    <x:mergeCell ref="A19:A30"/>
    <x:mergeCell ref="A31:C31"/>
    <x:mergeCell ref="A33:A44"/>
    <x:mergeCell ref="A45:C45"/>
    <x:mergeCell ref="A46:C46"/>
  </x:mergeCells>
  <x:conditionalFormatting sqref="H5:H17">
    <x:cfRule type="cellIs" dxfId="16" priority="1" operator="greaterThan">
      <x:formula>0</x:formula>
    </x:cfRule>
    <x:cfRule type="cellIs" dxfId="17" priority="2" operator="lessThan">
      <x:formula>0</x:formula>
    </x:cfRule>
  </x:conditionalFormatting>
  <x:conditionalFormatting sqref="H19:H31">
    <x:cfRule type="cellIs" dxfId="18" priority="3" operator="greaterThan">
      <x:formula>0</x:formula>
    </x:cfRule>
    <x:cfRule type="cellIs" dxfId="19" priority="4" operator="lessThan">
      <x:formula>0</x:formula>
    </x:cfRule>
  </x:conditionalFormatting>
  <x:conditionalFormatting sqref="H33:H45">
    <x:cfRule type="cellIs" dxfId="20" priority="5" operator="greaterThan">
      <x:formula>0</x:formula>
    </x:cfRule>
    <x:cfRule type="cellIs" dxfId="21" priority="6" operator="lessThan">
      <x:formula>0</x:formula>
    </x:cfRule>
  </x:conditionalFormatting>
  <x:conditionalFormatting sqref="H46:H46">
    <x:cfRule type="cellIs" dxfId="22" priority="7" operator="greaterThan">
      <x:formula>0</x:formula>
    </x:cfRule>
    <x:cfRule type="cellIs" dxfId="23" priority="8" operator="lessThan">
      <x:formula>0</x:formula>
    </x:cfRule>
  </x:conditionalFormatting>
  <x:printOptions horizontalCentered="1"/>
  <x:pageMargins left="0.25" right="0.25" top="0.3" bottom="0.3" header="0.1" footer="0.15"/>
  <x:pageSetup paperSize="9" orientation="portrait" fitToWidth="1" fitToHeight="1"/>
  <x:headerFooter>
    <x:oddFooter>&amp;C8 / 9</x:oddFooter>
  </x:headerFooter>
</x:worksheet>
</file>

<file path=xl/worksheets/sheet9.xml><?xml version="1.0" encoding="utf-8"?>
<x:worksheet xmlns:x="http://schemas.openxmlformats.org/spreadsheetml/2006/main">
  <x:sheetPr>
    <x:tabColor rgb="FF657567"/>
    <x:pageSetUpPr fitToPage="1"/>
  </x:sheetPr>
  <x:sheetViews>
    <x:sheetView showGridLines="0" workbookViewId="0"/>
  </x:sheetViews>
  <x:sheetFormatPr defaultRowHeight="15"/>
  <x:cols>
    <x:col min="1" max="1" width="5.78000020980835" hidden="0" customWidth="1"/>
    <x:col min="2" max="2" width="6.889999866485596" hidden="0" customWidth="1"/>
    <x:col min="3" max="3" width="11.109999656677246" hidden="0" customWidth="1"/>
    <x:col min="4" max="4" width="10.670000076293945" hidden="0" customWidth="1"/>
    <x:col min="5" max="5" width="10.670000076293945" hidden="0" customWidth="1"/>
    <x:col min="6" max="6" width="10.670000076293945" hidden="0" customWidth="1"/>
    <x:col min="7" max="7" width="10.670000076293945" hidden="0" customWidth="1"/>
    <x:col min="8" max="8" width="10.670000076293945" hidden="0" customWidth="1"/>
    <x:col min="9" max="9" width="10.670000076293945" hidden="0" customWidth="1"/>
  </x:cols>
  <x:sheetData>
    <x:row r="1" ht="17.25" customHeight="1">
      <x:c r="A1" s="10" t="n">
        <x:v>46270</x:v>
      </x:c>
      <x:c r="B1" s="11"/>
      <x:c r="C1" s="11"/>
      <x:c r="D1" s="12" t="str">
        <x:v>NEWSONG J 대학부 새가족 명단</x:v>
      </x:c>
      <x:c r="E1" s="12"/>
      <x:c r="F1" s="12"/>
      <x:c r="G1" s="12"/>
      <x:c r="H1" s="12"/>
      <x:c r="I1" s="13"/>
    </x:row>
    <x:row r="2" ht="17.25" customHeight="1">
      <x:c r="A2" s="14"/>
      <x:c r="B2" s="15"/>
      <x:c r="C2" s="15"/>
      <x:c r="D2" s="16"/>
      <x:c r="E2" s="16"/>
      <x:c r="F2" s="16"/>
      <x:c r="G2" s="16"/>
      <x:c r="H2" s="16"/>
      <x:c r="I2" s="17"/>
    </x:row>
    <x:row r="3" ht="17.25" customHeight="1">
      <x:c r="A3" s="19" t="str">
        <x:v>디자인 검토용 · 모든 숫자와 명단은 가상 데이터</x:v>
      </x:c>
      <x:c r="B3" s="19"/>
      <x:c r="C3" s="19"/>
      <x:c r="D3" s="19"/>
      <x:c r="E3" s="19"/>
      <x:c r="F3" s="19"/>
      <x:c r="G3" s="19"/>
      <x:c r="H3" s="19"/>
      <x:c r="I3" s="19"/>
    </x:row>
    <x:row r="4" ht="17.25" customHeight="1">
      <x:c r="A4" s="4"/>
      <x:c r="B4" s="4"/>
      <x:c r="C4" s="4"/>
      <x:c r="D4" s="4"/>
      <x:c r="E4" s="4"/>
      <x:c r="F4" s="4"/>
      <x:c r="G4" s="4"/>
      <x:c r="H4" s="4"/>
      <x:c r="I4" s="4"/>
    </x:row>
    <x:row r="5" ht="17.25" customHeight="1">
      <x:c r="A5" s="37" t="str">
        <x:v>인원
통계</x:v>
      </x:c>
      <x:c r="B5" s="46" t="str">
        <x:v>교구</x:v>
      </x:c>
      <x:c r="C5" s="46" t="str">
        <x:v>등록</x:v>
      </x:c>
      <x:c r="D5" s="46" t="str">
        <x:v>교육 + 이수</x:v>
      </x:c>
      <x:c r="E5" s="46" t="str">
        <x:v>교육 + 모임만</x:v>
      </x:c>
      <x:c r="F5" s="46" t="str">
        <x:v>교육 + 결석</x:v>
      </x:c>
      <x:c r="G5" s="46" t="str">
        <x:v>등반 + 현장</x:v>
      </x:c>
      <x:c r="H5" s="46" t="str">
        <x:v>등반 + 결석</x:v>
      </x:c>
      <x:c r="I5" s="46" t="str">
        <x:v>합계</x:v>
      </x:c>
    </x:row>
    <x:row r="6" ht="17.25" customHeight="1">
      <x:c r="A6" s="37"/>
      <x:c r="B6" s="26" t="n">
        <x:v>1</x:v>
      </x:c>
      <x:c r="C6" s="26" t="n">
        <x:v>2</x:v>
      </x:c>
      <x:c r="D6" s="26" t="n">
        <x:v>4</x:v>
      </x:c>
      <x:c r="E6" s="26" t="n">
        <x:v>1</x:v>
      </x:c>
      <x:c r="F6" s="26" t="n">
        <x:v>5</x:v>
      </x:c>
      <x:c r="G6" s="26" t="n">
        <x:v>1</x:v>
      </x:c>
      <x:c r="H6" s="26" t="n">
        <x:v>4</x:v>
      </x:c>
      <x:c r="I6" s="26" t="n">
        <x:f>SUM(C6:H6)</x:f>
        <x:v>17</x:v>
      </x:c>
    </x:row>
    <x:row r="7" ht="17.25" customHeight="1">
      <x:c r="A7" s="37"/>
      <x:c r="B7" s="26" t="n">
        <x:v>2</x:v>
      </x:c>
      <x:c r="C7" s="26" t="n">
        <x:v>1</x:v>
      </x:c>
      <x:c r="D7" s="26" t="n">
        <x:v>4</x:v>
      </x:c>
      <x:c r="E7" s="26" t="n">
        <x:v>1</x:v>
      </x:c>
      <x:c r="F7" s="26" t="n">
        <x:v>5</x:v>
      </x:c>
      <x:c r="G7" s="26" t="n">
        <x:v>1</x:v>
      </x:c>
      <x:c r="H7" s="26" t="n">
        <x:v>4</x:v>
      </x:c>
      <x:c r="I7" s="26" t="n">
        <x:f>SUM(C7:H7)</x:f>
        <x:v>16</x:v>
      </x:c>
    </x:row>
    <x:row r="8" ht="17.25" customHeight="1">
      <x:c r="A8" s="37"/>
      <x:c r="B8" s="26" t="n">
        <x:v>3</x:v>
      </x:c>
      <x:c r="C8" s="26" t="n">
        <x:v>2</x:v>
      </x:c>
      <x:c r="D8" s="26" t="n">
        <x:v>3</x:v>
      </x:c>
      <x:c r="E8" s="26" t="n">
        <x:v>1</x:v>
      </x:c>
      <x:c r="F8" s="26" t="n">
        <x:v>5</x:v>
      </x:c>
      <x:c r="G8" s="26" t="n">
        <x:v>1</x:v>
      </x:c>
      <x:c r="H8" s="26" t="n">
        <x:v>4</x:v>
      </x:c>
      <x:c r="I8" s="26" t="n">
        <x:f>SUM(C8:H8)</x:f>
        <x:v>16</x:v>
      </x:c>
    </x:row>
    <x:row r="9" ht="17.25" customHeight="1">
      <x:c r="A9" s="37"/>
      <x:c r="B9" s="47" t="str">
        <x:v>합계</x:v>
      </x:c>
      <x:c r="C9" s="47" t="n">
        <x:f>SUM(C6:C8)</x:f>
        <x:v>5</x:v>
      </x:c>
      <x:c r="D9" s="47" t="n">
        <x:f>SUM(D6:D8)</x:f>
        <x:v>11</x:v>
      </x:c>
      <x:c r="E9" s="47" t="n">
        <x:f>SUM(E6:E8)</x:f>
        <x:v>3</x:v>
      </x:c>
      <x:c r="F9" s="47" t="n">
        <x:f>SUM(F6:F8)</x:f>
        <x:v>15</x:v>
      </x:c>
      <x:c r="G9" s="47" t="n">
        <x:f>SUM(G6:G8)</x:f>
        <x:v>3</x:v>
      </x:c>
      <x:c r="H9" s="47" t="n">
        <x:f>SUM(H6:H8)</x:f>
        <x:v>12</x:v>
      </x:c>
      <x:c r="I9" s="31" t="n">
        <x:f>SUM(I6:I8)</x:f>
        <x:v>49</x:v>
      </x:c>
    </x:row>
    <x:row r="10" ht="17.25" customHeight="1">
      <x:c r="A10" s="4"/>
      <x:c r="B10" s="4"/>
      <x:c r="C10" s="4"/>
      <x:c r="D10" s="4"/>
      <x:c r="E10" s="4"/>
      <x:c r="F10" s="4"/>
      <x:c r="G10" s="4"/>
      <x:c r="H10" s="4"/>
      <x:c r="I10" s="4"/>
    </x:row>
    <x:row r="11" ht="17.25" customHeight="1">
      <x:c r="A11" s="23" t="str">
        <x:v>교구</x:v>
      </x:c>
      <x:c r="B11" s="23" t="str">
        <x:v>구분</x:v>
      </x:c>
      <x:c r="C11" s="23" t="str">
        <x:v>상세</x:v>
      </x:c>
      <x:c r="D11" s="23" t="str">
        <x:v>1팀</x:v>
      </x:c>
      <x:c r="E11" s="23" t="str">
        <x:v>2팀</x:v>
      </x:c>
      <x:c r="F11" s="23" t="str">
        <x:v>3팀</x:v>
      </x:c>
      <x:c r="G11" s="23" t="str">
        <x:v>4팀</x:v>
      </x:c>
      <x:c r="H11" s="23" t="str">
        <x:v>5팀</x:v>
      </x:c>
      <x:c r="I11" s="23" t="str">
        <x:v>6팀</x:v>
      </x:c>
    </x:row>
    <x:row r="12" ht="17.25" customHeight="1">
      <x:c r="A12" s="47" t="str">
        <x:v>2교구</x:v>
      </x:c>
      <x:c r="B12" s="29" t="str">
        <x:v>등록</x:v>
      </x:c>
      <x:c r="C12" s="26" t="str">
        <x:v>뉴송</x:v>
      </x:c>
      <x:c r="D12" s="26"/>
      <x:c r="E12" s="26"/>
      <x:c r="F12" s="26"/>
      <x:c r="G12" s="26"/>
      <x:c r="H12" s="26"/>
      <x:c r="I12" s="26" t="str">
        <x:v>새가족601</x:v>
      </x:c>
    </x:row>
    <x:row r="13" ht="17.25" customHeight="1">
      <x:c r="A13" s="47"/>
      <x:c r="B13" s="29"/>
      <x:c r="C13" s="26"/>
      <x:c r="D13" s="26"/>
      <x:c r="E13" s="26"/>
      <x:c r="F13" s="26"/>
      <x:c r="G13" s="26"/>
      <x:c r="H13" s="26"/>
      <x:c r="I13" s="26"/>
    </x:row>
    <x:row r="14" ht="17.25" customHeight="1">
      <x:c r="A14" s="47"/>
      <x:c r="B14" s="29"/>
      <x:c r="C14" s="26" t="str">
        <x:v>주일</x:v>
      </x:c>
      <x:c r="D14" s="26"/>
      <x:c r="E14" s="26"/>
      <x:c r="F14" s="26"/>
      <x:c r="G14" s="26"/>
      <x:c r="H14" s="26"/>
      <x:c r="I14" s="26"/>
    </x:row>
    <x:row r="15" ht="17.25" customHeight="1">
      <x:c r="A15" s="47"/>
      <x:c r="B15" s="29"/>
      <x:c r="C15" s="26"/>
      <x:c r="D15" s="26"/>
      <x:c r="E15" s="26"/>
      <x:c r="F15" s="26"/>
      <x:c r="G15" s="26"/>
      <x:c r="H15" s="26"/>
      <x:c r="I15" s="26"/>
    </x:row>
    <x:row r="16" ht="17.25" customHeight="1">
      <x:c r="A16" s="47"/>
      <x:c r="B16" s="50" t="str">
        <x:v>교육</x:v>
      </x:c>
      <x:c r="C16" s="26" t="str">
        <x:v>1주차</x:v>
      </x:c>
      <x:c r="D16" s="26"/>
      <x:c r="E16" s="26"/>
      <x:c r="F16" s="26"/>
      <x:c r="G16" s="26"/>
      <x:c r="H16" s="26"/>
      <x:c r="I16" s="26"/>
    </x:row>
    <x:row r="17" ht="17.25" customHeight="1">
      <x:c r="A17" s="47"/>
      <x:c r="B17" s="50"/>
      <x:c r="C17" s="26"/>
      <x:c r="D17" s="26"/>
      <x:c r="E17" s="26"/>
      <x:c r="F17" s="26"/>
      <x:c r="G17" s="26"/>
      <x:c r="H17" s="26"/>
      <x:c r="I17" s="26"/>
    </x:row>
    <x:row r="18" ht="17.25" customHeight="1">
      <x:c r="A18" s="47"/>
      <x:c r="B18" s="50"/>
      <x:c r="C18" s="26" t="str">
        <x:v>2주차</x:v>
      </x:c>
      <x:c r="D18" s="26" t="str">
        <x:v>새가족131</x:v>
      </x:c>
      <x:c r="E18" s="26"/>
      <x:c r="F18" s="26"/>
      <x:c r="G18" s="26"/>
      <x:c r="H18" s="26"/>
      <x:c r="I18" s="26"/>
    </x:row>
    <x:row r="19" ht="17.25" customHeight="1">
      <x:c r="A19" s="47"/>
      <x:c r="B19" s="50"/>
      <x:c r="C19" s="26"/>
      <x:c r="D19" s="26"/>
      <x:c r="E19" s="26"/>
      <x:c r="F19" s="26"/>
      <x:c r="G19" s="26"/>
      <x:c r="H19" s="26"/>
      <x:c r="I19" s="26"/>
    </x:row>
    <x:row r="20" ht="17.25" customHeight="1">
      <x:c r="A20" s="47"/>
      <x:c r="B20" s="50"/>
      <x:c r="C20" s="26" t="str">
        <x:v>3주차</x:v>
      </x:c>
      <x:c r="D20" s="26"/>
      <x:c r="E20" s="26"/>
      <x:c r="F20" s="26"/>
      <x:c r="G20" s="26"/>
      <x:c r="H20" s="26"/>
      <x:c r="I20" s="26"/>
    </x:row>
    <x:row r="21" ht="17.25" customHeight="1">
      <x:c r="A21" s="47"/>
      <x:c r="B21" s="50"/>
      <x:c r="C21" s="26"/>
      <x:c r="D21" s="26"/>
      <x:c r="E21" s="26"/>
      <x:c r="F21" s="26"/>
      <x:c r="G21" s="26"/>
      <x:c r="H21" s="26"/>
      <x:c r="I21" s="26"/>
    </x:row>
    <x:row r="22" ht="17.25" customHeight="1">
      <x:c r="A22" s="47"/>
      <x:c r="B22" s="50"/>
      <x:c r="C22" s="26" t="str">
        <x:v>4주차</x:v>
      </x:c>
      <x:c r="D22" s="26"/>
      <x:c r="E22" s="26" t="str">
        <x:v>새가족251</x:v>
      </x:c>
      <x:c r="F22" s="26"/>
      <x:c r="G22" s="26"/>
      <x:c r="H22" s="26"/>
      <x:c r="I22" s="26"/>
    </x:row>
    <x:row r="23" ht="17.25" customHeight="1">
      <x:c r="A23" s="47"/>
      <x:c r="B23" s="50"/>
      <x:c r="C23" s="26"/>
      <x:c r="D23" s="26"/>
      <x:c r="E23" s="26"/>
      <x:c r="F23" s="26"/>
      <x:c r="G23" s="26"/>
      <x:c r="H23" s="26"/>
      <x:c r="I23" s="26"/>
    </x:row>
    <x:row r="24" ht="17.25" customHeight="1">
      <x:c r="A24" s="47"/>
      <x:c r="B24" s="50"/>
      <x:c r="C24" s="26" t="str">
        <x:v>모임(교육 X)</x:v>
      </x:c>
      <x:c r="D24" s="26"/>
      <x:c r="E24" s="26"/>
      <x:c r="F24" s="26"/>
      <x:c r="G24" s="26"/>
      <x:c r="H24" s="26"/>
      <x:c r="I24" s="26"/>
    </x:row>
    <x:row r="25" ht="17.25" customHeight="1">
      <x:c r="A25" s="47"/>
      <x:c r="B25" s="50"/>
      <x:c r="C25" s="26"/>
      <x:c r="D25" s="26"/>
      <x:c r="E25" s="26"/>
      <x:c r="F25" s="26"/>
      <x:c r="G25" s="26"/>
      <x:c r="H25" s="26"/>
      <x:c r="I25" s="26"/>
    </x:row>
    <x:row r="26" ht="17.25" customHeight="1">
      <x:c r="A26" s="47"/>
      <x:c r="B26" s="50"/>
      <x:c r="C26" s="42" t="str">
        <x:v>결석</x:v>
      </x:c>
      <x:c r="D26" s="42" t="str">
        <x:v>새가족171</x:v>
      </x:c>
      <x:c r="E26" s="42"/>
      <x:c r="F26" s="42" t="str">
        <x:v>새가족371</x:v>
      </x:c>
      <x:c r="G26" s="42" t="str">
        <x:v>새가족471</x:v>
      </x:c>
      <x:c r="H26" s="42"/>
      <x:c r="I26" s="42"/>
    </x:row>
    <x:row r="27" ht="17.25" customHeight="1">
      <x:c r="A27" s="47"/>
      <x:c r="B27" s="50"/>
      <x:c r="C27" s="42"/>
      <x:c r="D27" s="42"/>
      <x:c r="E27" s="42"/>
      <x:c r="F27" s="42"/>
      <x:c r="G27" s="42"/>
      <x:c r="H27" s="42"/>
      <x:c r="I27" s="42"/>
    </x:row>
    <x:row r="28" ht="17.25" customHeight="1">
      <x:c r="A28" s="47"/>
      <x:c r="B28" s="50"/>
      <x:c r="C28" s="42"/>
      <x:c r="D28" s="42"/>
      <x:c r="E28" s="42"/>
      <x:c r="F28" s="42"/>
      <x:c r="G28" s="42"/>
      <x:c r="H28" s="42"/>
      <x:c r="I28" s="42"/>
    </x:row>
    <x:row r="29" ht="17.25" customHeight="1">
      <x:c r="A29" s="47"/>
      <x:c r="B29" s="26" t="str">
        <x:v>등반</x:v>
      </x:c>
      <x:c r="C29" s="26" t="str">
        <x:v>현장</x:v>
      </x:c>
      <x:c r="D29" s="26"/>
      <x:c r="E29" s="26"/>
      <x:c r="F29" s="26"/>
      <x:c r="G29" s="26"/>
      <x:c r="H29" s="26"/>
      <x:c r="I29" s="26"/>
    </x:row>
    <x:row r="30" ht="17.25" customHeight="1">
      <x:c r="A30" s="47"/>
      <x:c r="B30" s="26"/>
      <x:c r="C30" s="26"/>
      <x:c r="D30" s="26"/>
      <x:c r="E30" s="26"/>
      <x:c r="F30" s="26"/>
      <x:c r="G30" s="26"/>
      <x:c r="H30" s="26"/>
      <x:c r="I30" s="26"/>
    </x:row>
    <x:row r="31" ht="17.25" customHeight="1">
      <x:c r="A31" s="47"/>
      <x:c r="B31" s="26"/>
      <x:c r="C31" s="26"/>
      <x:c r="D31" s="26"/>
      <x:c r="E31" s="26"/>
      <x:c r="F31" s="26"/>
      <x:c r="G31" s="26"/>
      <x:c r="H31" s="26"/>
      <x:c r="I31" s="26"/>
    </x:row>
    <x:row r="32" ht="17.25" customHeight="1">
      <x:c r="A32" s="47"/>
      <x:c r="B32" s="26"/>
      <x:c r="C32" s="42" t="str">
        <x:v>결석</x:v>
      </x:c>
      <x:c r="D32" s="42"/>
      <x:c r="E32" s="42" t="str">
        <x:v>새가족291</x:v>
      </x:c>
      <x:c r="F32" s="42"/>
      <x:c r="G32" s="42" t="str">
        <x:v>새가족491</x:v>
      </x:c>
      <x:c r="H32" s="42"/>
      <x:c r="I32" s="42" t="str">
        <x:v>새가족691</x:v>
      </x:c>
    </x:row>
    <x:row r="33" ht="17.25" customHeight="1">
      <x:c r="A33" s="47"/>
      <x:c r="B33" s="26"/>
      <x:c r="C33" s="42"/>
      <x:c r="D33" s="42"/>
      <x:c r="E33" s="42"/>
      <x:c r="F33" s="42"/>
      <x:c r="G33" s="42"/>
      <x:c r="H33" s="42"/>
      <x:c r="I33" s="42"/>
    </x:row>
    <x:row r="34" ht="17.25" customHeight="1">
      <x:c r="A34" s="47"/>
      <x:c r="B34" s="26"/>
      <x:c r="C34" s="42"/>
      <x:c r="D34" s="42"/>
      <x:c r="E34" s="42"/>
      <x:c r="F34" s="42"/>
      <x:c r="G34" s="42"/>
      <x:c r="H34" s="42"/>
      <x:c r="I34" s="42"/>
    </x:row>
    <x:row r="35" ht="17.25" customHeight="1">
      <x:c r="A35" s="47"/>
      <x:c r="B35" s="26"/>
      <x:c r="C35" s="26"/>
      <x:c r="D35" s="26"/>
      <x:c r="E35" s="26"/>
      <x:c r="F35" s="26"/>
      <x:c r="G35" s="26"/>
      <x:c r="H35" s="26"/>
      <x:c r="I35" s="26"/>
    </x:row>
    <x:row r="36" ht="17.25" customHeight="1">
      <x:c r="A36" s="23" t="str">
        <x:v>교구</x:v>
      </x:c>
      <x:c r="B36" s="23" t="str">
        <x:v>구분</x:v>
      </x:c>
      <x:c r="C36" s="23" t="str">
        <x:v>상세</x:v>
      </x:c>
      <x:c r="D36" s="23" t="str">
        <x:v>7팀</x:v>
      </x:c>
      <x:c r="E36" s="23" t="str">
        <x:v>8팀</x:v>
      </x:c>
      <x:c r="F36" s="23" t="str">
        <x:v>9팀</x:v>
      </x:c>
      <x:c r="G36" s="23" t="str">
        <x:v>10팀</x:v>
      </x:c>
      <x:c r="H36" s="23" t="str">
        <x:v>11팀</x:v>
      </x:c>
      <x:c r="I36" s="23" t="str">
        <x:v>12팀</x:v>
      </x:c>
    </x:row>
    <x:row r="37" ht="17.25" customHeight="1">
      <x:c r="A37" s="47" t="str">
        <x:v>2교구</x:v>
      </x:c>
      <x:c r="B37" s="29" t="str">
        <x:v>등록</x:v>
      </x:c>
      <x:c r="C37" s="26" t="str">
        <x:v>뉴송</x:v>
      </x:c>
      <x:c r="D37" s="26"/>
      <x:c r="E37" s="26"/>
      <x:c r="F37" s="26"/>
      <x:c r="G37" s="26"/>
      <x:c r="H37" s="26"/>
      <x:c r="I37" s="26"/>
    </x:row>
    <x:row r="38" ht="17.25" customHeight="1">
      <x:c r="A38" s="47"/>
      <x:c r="B38" s="29"/>
      <x:c r="C38" s="26"/>
      <x:c r="D38" s="26"/>
      <x:c r="E38" s="26"/>
      <x:c r="F38" s="26"/>
      <x:c r="G38" s="26"/>
      <x:c r="H38" s="26"/>
      <x:c r="I38" s="26"/>
    </x:row>
    <x:row r="39" ht="17.25" customHeight="1">
      <x:c r="A39" s="47"/>
      <x:c r="B39" s="29"/>
      <x:c r="C39" s="26" t="str">
        <x:v>주일</x:v>
      </x:c>
      <x:c r="D39" s="26"/>
      <x:c r="E39" s="26"/>
      <x:c r="F39" s="26"/>
      <x:c r="G39" s="26"/>
      <x:c r="H39" s="26"/>
      <x:c r="I39" s="26"/>
    </x:row>
    <x:row r="40" ht="17.25" customHeight="1">
      <x:c r="A40" s="47"/>
      <x:c r="B40" s="29"/>
      <x:c r="C40" s="26"/>
      <x:c r="D40" s="26"/>
      <x:c r="E40" s="26"/>
      <x:c r="F40" s="26"/>
      <x:c r="G40" s="26"/>
      <x:c r="H40" s="26"/>
      <x:c r="I40" s="26"/>
    </x:row>
    <x:row r="41" ht="17.25" customHeight="1">
      <x:c r="A41" s="47"/>
      <x:c r="B41" s="50" t="str">
        <x:v>교육</x:v>
      </x:c>
      <x:c r="C41" s="26" t="str">
        <x:v>1주차</x:v>
      </x:c>
      <x:c r="D41" s="26" t="str">
        <x:v>새가족721</x:v>
      </x:c>
      <x:c r="E41" s="26"/>
      <x:c r="F41" s="26"/>
      <x:c r="G41" s="26"/>
      <x:c r="H41" s="26"/>
      <x:c r="I41" s="26"/>
    </x:row>
    <x:row r="42" ht="17.25" customHeight="1">
      <x:c r="A42" s="47"/>
      <x:c r="B42" s="50"/>
      <x:c r="C42" s="26"/>
      <x:c r="D42" s="26"/>
      <x:c r="E42" s="26"/>
      <x:c r="F42" s="26"/>
      <x:c r="G42" s="26"/>
      <x:c r="H42" s="26"/>
      <x:c r="I42" s="26"/>
    </x:row>
    <x:row r="43" ht="17.25" customHeight="1">
      <x:c r="A43" s="47"/>
      <x:c r="B43" s="50"/>
      <x:c r="C43" s="26" t="str">
        <x:v>2주차</x:v>
      </x:c>
      <x:c r="D43" s="26"/>
      <x:c r="E43" s="26"/>
      <x:c r="F43" s="26"/>
      <x:c r="G43" s="26"/>
      <x:c r="H43" s="26"/>
      <x:c r="I43" s="26"/>
    </x:row>
    <x:row r="44" ht="17.25" customHeight="1">
      <x:c r="A44" s="47"/>
      <x:c r="B44" s="50"/>
      <x:c r="C44" s="26"/>
      <x:c r="D44" s="26"/>
      <x:c r="E44" s="26"/>
      <x:c r="F44" s="26"/>
      <x:c r="G44" s="26"/>
      <x:c r="H44" s="26"/>
      <x:c r="I44" s="26"/>
    </x:row>
    <x:row r="45" ht="17.25" customHeight="1">
      <x:c r="A45" s="47"/>
      <x:c r="B45" s="50"/>
      <x:c r="C45" s="26" t="str">
        <x:v>3주차</x:v>
      </x:c>
      <x:c r="D45" s="26"/>
      <x:c r="E45" s="26" t="str">
        <x:v>새가족841</x:v>
      </x:c>
      <x:c r="F45" s="26"/>
      <x:c r="G45" s="26"/>
      <x:c r="H45" s="26"/>
      <x:c r="I45" s="26"/>
    </x:row>
    <x:row r="46" ht="17.25" customHeight="1">
      <x:c r="A46" s="47"/>
      <x:c r="B46" s="50"/>
      <x:c r="C46" s="26"/>
      <x:c r="D46" s="26"/>
      <x:c r="E46" s="26"/>
      <x:c r="F46" s="26"/>
      <x:c r="G46" s="26"/>
      <x:c r="H46" s="26"/>
      <x:c r="I46" s="26"/>
    </x:row>
    <x:row r="47" ht="17.25" customHeight="1">
      <x:c r="A47" s="47"/>
      <x:c r="B47" s="50"/>
      <x:c r="C47" s="26" t="str">
        <x:v>4주차</x:v>
      </x:c>
      <x:c r="D47" s="26"/>
      <x:c r="E47" s="26"/>
      <x:c r="F47" s="26"/>
      <x:c r="G47" s="26"/>
      <x:c r="H47" s="26"/>
      <x:c r="I47" s="26"/>
    </x:row>
    <x:row r="48" ht="17.25" customHeight="1">
      <x:c r="A48" s="47"/>
      <x:c r="B48" s="50"/>
      <x:c r="C48" s="26"/>
      <x:c r="D48" s="26"/>
      <x:c r="E48" s="26"/>
      <x:c r="F48" s="26"/>
      <x:c r="G48" s="26"/>
      <x:c r="H48" s="26"/>
      <x:c r="I48" s="26"/>
    </x:row>
    <x:row r="49" ht="17.25" customHeight="1">
      <x:c r="A49" s="47"/>
      <x:c r="B49" s="50"/>
      <x:c r="C49" s="26" t="str">
        <x:v>모임(교육 X)</x:v>
      </x:c>
      <x:c r="D49" s="26"/>
      <x:c r="E49" s="26"/>
      <x:c r="F49" s="26" t="str">
        <x:v>새가족961</x:v>
      </x:c>
      <x:c r="G49" s="26"/>
      <x:c r="H49" s="26"/>
      <x:c r="I49" s="26"/>
    </x:row>
    <x:row r="50" ht="17.25" customHeight="1">
      <x:c r="A50" s="47"/>
      <x:c r="B50" s="50"/>
      <x:c r="C50" s="26"/>
      <x:c r="D50" s="26"/>
      <x:c r="E50" s="26"/>
      <x:c r="F50" s="26"/>
      <x:c r="G50" s="26"/>
      <x:c r="H50" s="26"/>
      <x:c r="I50" s="26"/>
    </x:row>
    <x:row r="51" ht="17.25" customHeight="1">
      <x:c r="A51" s="47"/>
      <x:c r="B51" s="50"/>
      <x:c r="C51" s="42" t="str">
        <x:v>결석</x:v>
      </x:c>
      <x:c r="D51" s="42" t="str">
        <x:v>새가족771</x:v>
      </x:c>
      <x:c r="E51" s="42"/>
      <x:c r="F51" s="42"/>
      <x:c r="G51" s="42" t="str">
        <x:v>새가족1071</x:v>
      </x:c>
      <x:c r="H51" s="42"/>
      <x:c r="I51" s="42"/>
    </x:row>
    <x:row r="52" ht="17.25" customHeight="1">
      <x:c r="A52" s="47"/>
      <x:c r="B52" s="50"/>
      <x:c r="C52" s="42"/>
      <x:c r="D52" s="42"/>
      <x:c r="E52" s="42"/>
      <x:c r="F52" s="42"/>
      <x:c r="G52" s="42"/>
      <x:c r="H52" s="42"/>
      <x:c r="I52" s="42"/>
    </x:row>
    <x:row r="53" ht="17.25" customHeight="1">
      <x:c r="A53" s="47"/>
      <x:c r="B53" s="50"/>
      <x:c r="C53" s="42"/>
      <x:c r="D53" s="42"/>
      <x:c r="E53" s="42"/>
      <x:c r="F53" s="42"/>
      <x:c r="G53" s="42"/>
      <x:c r="H53" s="42"/>
      <x:c r="I53" s="42"/>
    </x:row>
    <x:row r="54" ht="17.25" customHeight="1">
      <x:c r="A54" s="47"/>
      <x:c r="B54" s="26" t="str">
        <x:v>등반</x:v>
      </x:c>
      <x:c r="C54" s="26" t="str">
        <x:v>현장</x:v>
      </x:c>
      <x:c r="D54" s="26"/>
      <x:c r="E54" s="26"/>
      <x:c r="F54" s="26"/>
      <x:c r="G54" s="26" t="str">
        <x:v>새가족1081</x:v>
      </x:c>
      <x:c r="H54" s="26"/>
      <x:c r="I54" s="26"/>
    </x:row>
    <x:row r="55" ht="17.25" customHeight="1">
      <x:c r="A55" s="47"/>
      <x:c r="B55" s="26"/>
      <x:c r="C55" s="26"/>
      <x:c r="D55" s="26"/>
      <x:c r="E55" s="26"/>
      <x:c r="F55" s="26"/>
      <x:c r="G55" s="26"/>
      <x:c r="H55" s="26"/>
      <x:c r="I55" s="26"/>
    </x:row>
    <x:row r="56" ht="17.25" customHeight="1">
      <x:c r="A56" s="47"/>
      <x:c r="B56" s="26"/>
      <x:c r="C56" s="26"/>
      <x:c r="D56" s="26"/>
      <x:c r="E56" s="26"/>
      <x:c r="F56" s="26"/>
      <x:c r="G56" s="26"/>
      <x:c r="H56" s="26"/>
      <x:c r="I56" s="26"/>
    </x:row>
    <x:row r="57" ht="17.25" customHeight="1">
      <x:c r="A57" s="47"/>
      <x:c r="B57" s="26"/>
      <x:c r="C57" s="42" t="str">
        <x:v>결석</x:v>
      </x:c>
      <x:c r="D57" s="42"/>
      <x:c r="E57" s="42"/>
      <x:c r="F57" s="42"/>
      <x:c r="G57" s="42" t="str">
        <x:v>새가족1091</x:v>
      </x:c>
      <x:c r="H57" s="42"/>
      <x:c r="I57" s="42"/>
    </x:row>
    <x:row r="58" ht="17.25" customHeight="1">
      <x:c r="A58" s="47"/>
      <x:c r="B58" s="26"/>
      <x:c r="C58" s="42"/>
      <x:c r="D58" s="42"/>
      <x:c r="E58" s="42"/>
      <x:c r="F58" s="42"/>
      <x:c r="G58" s="42"/>
      <x:c r="H58" s="42"/>
      <x:c r="I58" s="42"/>
    </x:row>
    <x:row r="59" ht="17.25" customHeight="1">
      <x:c r="A59" s="47"/>
      <x:c r="B59" s="26"/>
      <x:c r="C59" s="42"/>
      <x:c r="D59" s="42"/>
      <x:c r="E59" s="42"/>
      <x:c r="F59" s="42"/>
      <x:c r="G59" s="42"/>
      <x:c r="H59" s="42"/>
      <x:c r="I59" s="42"/>
    </x:row>
    <x:row r="60" ht="17.25" customHeight="1">
      <x:c r="A60" s="47"/>
      <x:c r="B60" s="26"/>
      <x:c r="C60" s="26"/>
      <x:c r="D60" s="26"/>
      <x:c r="E60" s="26"/>
      <x:c r="F60" s="26"/>
      <x:c r="G60" s="26"/>
      <x:c r="H60" s="26"/>
      <x:c r="I60" s="26"/>
    </x:row>
    <x:row r="61" ht="17.25" customHeight="1">
      <x:c r="A61" s="4"/>
      <x:c r="B61" s="4"/>
      <x:c r="C61" s="4"/>
      <x:c r="D61" s="4"/>
      <x:c r="E61" s="4"/>
      <x:c r="F61" s="4"/>
      <x:c r="G61" s="4"/>
      <x:c r="H61" s="4"/>
      <x:c r="I61" s="4"/>
    </x:row>
    <x:row r="62" ht="17.25" customHeight="1">
      <x:c r="A62" s="4"/>
      <x:c r="B62" s="4"/>
      <x:c r="C62" s="4"/>
      <x:c r="D62" s="4"/>
      <x:c r="E62" s="4"/>
      <x:c r="F62" s="4"/>
      <x:c r="G62" s="4"/>
      <x:c r="H62" s="4"/>
      <x:c r="I62" s="4"/>
    </x:row>
    <x:row r="63" ht="17.25" customHeight="1">
      <x:c r="A63" s="4"/>
      <x:c r="B63" s="4"/>
      <x:c r="C63" s="4"/>
      <x:c r="D63" s="4"/>
      <x:c r="E63" s="4"/>
      <x:c r="F63" s="4"/>
      <x:c r="G63" s="4"/>
      <x:c r="H63" s="4"/>
      <x:c r="I63" s="4"/>
    </x:row>
    <x:row r="64" ht="17.25" customHeight="1">
      <x:c r="A64" s="4"/>
      <x:c r="B64" s="4"/>
      <x:c r="C64" s="4"/>
      <x:c r="D64" s="4"/>
      <x:c r="E64" s="4"/>
      <x:c r="F64" s="4"/>
      <x:c r="G64" s="4"/>
      <x:c r="H64" s="4"/>
      <x:c r="I64" s="4"/>
    </x:row>
    <x:row r="65" ht="17.25" customHeight="1">
      <x:c r="A65" s="4"/>
      <x:c r="B65" s="4"/>
      <x:c r="C65" s="4"/>
      <x:c r="D65" s="4"/>
      <x:c r="E65" s="4"/>
      <x:c r="F65" s="4"/>
      <x:c r="G65" s="4"/>
      <x:c r="H65" s="4"/>
      <x:c r="I65" s="4"/>
    </x:row>
  </x:sheetData>
  <x:mergeCells>
    <x:mergeCell ref="A1:C2"/>
    <x:mergeCell ref="D1:I2"/>
    <x:mergeCell ref="A3:I3"/>
    <x:mergeCell ref="A5:A9"/>
    <x:mergeCell ref="A12:A35"/>
    <x:mergeCell ref="B12:B15"/>
    <x:mergeCell ref="B16:B28"/>
    <x:mergeCell ref="B29:B35"/>
    <x:mergeCell ref="C12:C13"/>
    <x:mergeCell ref="C14:C15"/>
    <x:mergeCell ref="C16:C17"/>
    <x:mergeCell ref="C18:C19"/>
    <x:mergeCell ref="C20:C21"/>
    <x:mergeCell ref="C22:C23"/>
    <x:mergeCell ref="C24:C25"/>
    <x:mergeCell ref="C26:C28"/>
    <x:mergeCell ref="C29:C31"/>
    <x:mergeCell ref="C32:C34"/>
    <x:mergeCell ref="A37:A60"/>
    <x:mergeCell ref="B37:B40"/>
    <x:mergeCell ref="B41:B53"/>
    <x:mergeCell ref="B54:B60"/>
    <x:mergeCell ref="C37:C38"/>
    <x:mergeCell ref="C39:C40"/>
    <x:mergeCell ref="C41:C42"/>
    <x:mergeCell ref="C43:C44"/>
    <x:mergeCell ref="C45:C46"/>
    <x:mergeCell ref="C47:C48"/>
    <x:mergeCell ref="C49:C50"/>
    <x:mergeCell ref="C51:C53"/>
    <x:mergeCell ref="C54:C56"/>
    <x:mergeCell ref="C57:C59"/>
  </x:mergeCells>
  <x:printOptions horizontalCentered="1"/>
  <x:pageMargins left="0.25" right="0.25" top="0.3" bottom="0.3" header="0.1" footer="0.15"/>
  <x:pageSetup paperSize="9" orientation="portrait" fitToWidth="1" fitToHeight="1"/>
  <x:headerFooter>
    <x:oddFooter>&amp;C9 / 9</x:oddFooter>
  </x:headerFooter>
</x:worksheet>
</file>